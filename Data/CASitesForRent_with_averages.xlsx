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820"/>
  </bookViews>
  <sheets>
    <sheet name="Sheet1" sheetId="1" r:id="rId1"/>
  </sheets>
  <definedNames>
    <definedName name="_xlnm._FilterDatabase" localSheetId="0" hidden="1">Sheet1!$I$1:$I$427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<sst xmlns="http://schemas.openxmlformats.org/spreadsheetml/2006/main" count="2492" uniqueCount="1317">
  <si>
    <t>w</t>
  </si>
  <si>
    <t>Address</t>
  </si>
  <si>
    <t>Address.1</t>
  </si>
  <si>
    <t>City</t>
  </si>
  <si>
    <t>State</t>
  </si>
  <si>
    <t>Zip</t>
  </si>
  <si>
    <t>Min_SqFt</t>
  </si>
  <si>
    <t>Max_SqFt</t>
  </si>
  <si>
    <t>Rate</t>
  </si>
  <si>
    <t>Rate_SF_YR_to_MO</t>
  </si>
  <si>
    <t>Rate_SF_MO</t>
  </si>
  <si>
    <t>monthly_rate</t>
  </si>
  <si>
    <t>Avg_SqFt</t>
  </si>
  <si>
    <t>Total_Rent</t>
  </si>
  <si>
    <t>Retail</t>
  </si>
  <si>
    <t>10628 Ventura Blvd Los Angeles, CA 91604</t>
  </si>
  <si>
    <t>10628</t>
  </si>
  <si>
    <t>Ventura Blvd Los Angeles</t>
  </si>
  <si>
    <t>CA</t>
  </si>
  <si>
    <t>$3.36/SF/MO</t>
  </si>
  <si>
    <t>Retail &amp; Restaurant</t>
  </si>
  <si>
    <t>8877 Katella Ave Anaheim, CA 92804</t>
  </si>
  <si>
    <t>8877</t>
  </si>
  <si>
    <t>Katella Ave Anaheim</t>
  </si>
  <si>
    <t>$1.70 - $3.73/SF/MO</t>
  </si>
  <si>
    <t>Restaurant</t>
  </si>
  <si>
    <t>1000 Olive St San Luis Obispo, CA 93405</t>
  </si>
  <si>
    <t>1000</t>
  </si>
  <si>
    <t>Olive St San Luis Obispo</t>
  </si>
  <si>
    <t>$0.91/SF/MO</t>
  </si>
  <si>
    <t>260 S Raymond Ave Pasadena, CA 91105</t>
  </si>
  <si>
    <t>260</t>
  </si>
  <si>
    <t>S Raymond Ave Pasadena</t>
  </si>
  <si>
    <t>$4.50/SF/MO</t>
  </si>
  <si>
    <t>3201-3289 E. Shields Avenue Fresno, CA 93726</t>
  </si>
  <si>
    <t>3201-3289 E.</t>
  </si>
  <si>
    <t>Shields Avenue Fresno</t>
  </si>
  <si>
    <t>$1/SF/MO</t>
  </si>
  <si>
    <t>333 E Main St Alhambra, CA 91801</t>
  </si>
  <si>
    <t>333</t>
  </si>
  <si>
    <t>E Main St Alhambra</t>
  </si>
  <si>
    <t>57552 - 57672 29 Palms Hwy Yucca Valley, CA 92284</t>
  </si>
  <si>
    <t>57552 - 57672 29</t>
  </si>
  <si>
    <t>Palms Hwy Yucca Valley</t>
  </si>
  <si>
    <t>$1.25 - $2/SF/MO</t>
  </si>
  <si>
    <t>Union Station Los Angeles, CA 90012</t>
  </si>
  <si>
    <t>Union</t>
  </si>
  <si>
    <t>Station Los Angeles</t>
  </si>
  <si>
    <t>$19.20/SF/YR</t>
  </si>
  <si>
    <t>645 Fairfield Dr Merced, CA 95348</t>
  </si>
  <si>
    <t>645</t>
  </si>
  <si>
    <t>Fairfield Dr Merced</t>
  </si>
  <si>
    <t>$1.60 - $1.65/SF/MO</t>
  </si>
  <si>
    <t>2201 Pillsbury Rd Chico, CA 95926</t>
  </si>
  <si>
    <t>2201</t>
  </si>
  <si>
    <t>Pillsbury Rd Chico</t>
  </si>
  <si>
    <t>$1.50/SF/MO</t>
  </si>
  <si>
    <t>822 Kansas Ave Modesto, CA 95351</t>
  </si>
  <si>
    <t>822</t>
  </si>
  <si>
    <t>Kansas Ave Modesto</t>
  </si>
  <si>
    <t>$1.75/SF/MO</t>
  </si>
  <si>
    <t>Retail, Restaurant, Medical, Office</t>
  </si>
  <si>
    <t>13414 Ramona Blvd Baldwin Park, CA 91706</t>
  </si>
  <si>
    <t>13414</t>
  </si>
  <si>
    <t>Ramona Blvd Baldwin Park</t>
  </si>
  <si>
    <t>$2/SF/MO</t>
  </si>
  <si>
    <t>4701 S Broadway Los Angeles, CA 90037</t>
  </si>
  <si>
    <t>4701</t>
  </si>
  <si>
    <t>S Broadway Los Angeles</t>
  </si>
  <si>
    <t>$2.45/SF/MO</t>
  </si>
  <si>
    <t>8226 W 3rd St Los Angeles, CA 90048</t>
  </si>
  <si>
    <t>8226 W 3rd</t>
  </si>
  <si>
    <t>St Los Angeles</t>
  </si>
  <si>
    <t>$3.61/SF/MO</t>
  </si>
  <si>
    <t>1 Space</t>
  </si>
  <si>
    <t>1903-1915 Hillhurst Ave Los Angeles, CA 90027</t>
  </si>
  <si>
    <t>1903-1915</t>
  </si>
  <si>
    <t>Hillhurst Ave Los Angeles</t>
  </si>
  <si>
    <t>$4.25/SF/MO</t>
  </si>
  <si>
    <t>9226 Greenback Ln Orangevale, CA 95662</t>
  </si>
  <si>
    <t>9226</t>
  </si>
  <si>
    <t>Greenback Ln Orangevale</t>
  </si>
  <si>
    <t>$1.20/SF/MO</t>
  </si>
  <si>
    <t>14920 Perris Blvd Moreno Valley, CA 92553</t>
  </si>
  <si>
    <t>14920</t>
  </si>
  <si>
    <t>Perris Blvd Moreno Valley</t>
  </si>
  <si>
    <t>$5.13/SF/MO</t>
  </si>
  <si>
    <t>1403 W 3rd St Los Angeles, CA 90017</t>
  </si>
  <si>
    <t>1403 W 3rd</t>
  </si>
  <si>
    <t>$1.50 - $2.50/SF/MO</t>
  </si>
  <si>
    <t>5536 Satsuma Ave Los Angeles, CA 91601</t>
  </si>
  <si>
    <t>5536</t>
  </si>
  <si>
    <t>Satsuma Ave Los Angeles</t>
  </si>
  <si>
    <t>$3.05/SF/MO</t>
  </si>
  <si>
    <t>560 W 18th St # A Merced, CA 95340</t>
  </si>
  <si>
    <t>560 W 18th St #</t>
  </si>
  <si>
    <t>A Merced</t>
  </si>
  <si>
    <t>$20/SF/YR</t>
  </si>
  <si>
    <t>8479 Melrose Ave West Hollywood, CA 90069</t>
  </si>
  <si>
    <t>8479</t>
  </si>
  <si>
    <t>Melrose Ave West Hollywood</t>
  </si>
  <si>
    <t>$6.58/SF/MO</t>
  </si>
  <si>
    <t>7562 Laurel Canyon Blvd Los Angeles, CA 91605</t>
  </si>
  <si>
    <t>7562</t>
  </si>
  <si>
    <t>Laurel Canyon Blvd Los Angeles</t>
  </si>
  <si>
    <t>$2.25 - $2.50/SF/MO</t>
  </si>
  <si>
    <t>229 Broadway St Chico, CA 95928</t>
  </si>
  <si>
    <t>229</t>
  </si>
  <si>
    <t>Broadway St Chico</t>
  </si>
  <si>
    <t>1007 Voyager Dr Tehachapi, CA 93561</t>
  </si>
  <si>
    <t>1007</t>
  </si>
  <si>
    <t>Voyager Dr Tehachapi</t>
  </si>
  <si>
    <t>$35/SF/YR</t>
  </si>
  <si>
    <t>1015 Broadbeck Dr Thousand Oaks, CA 91320</t>
  </si>
  <si>
    <t>1015</t>
  </si>
  <si>
    <t>Broadbeck Dr Thousand Oaks</t>
  </si>
  <si>
    <t>$3.25 - $4/SF/MO</t>
  </si>
  <si>
    <t>2699 Clayton Rd Concord, CA 94519</t>
  </si>
  <si>
    <t>2699</t>
  </si>
  <si>
    <t>Clayton Rd Concord</t>
  </si>
  <si>
    <t>$2 - $42/SF/YR</t>
  </si>
  <si>
    <t>1711 Fulton St Fresno, CA 93721</t>
  </si>
  <si>
    <t>1711</t>
  </si>
  <si>
    <t>Fulton St Fresno</t>
  </si>
  <si>
    <t>$1.60/SF/MO</t>
  </si>
  <si>
    <t>790 Foothill Blvd San Luis Obispo, CA 93405</t>
  </si>
  <si>
    <t>790</t>
  </si>
  <si>
    <t>Foothill Blvd San Luis Obispo</t>
  </si>
  <si>
    <t>$3.25 - $3.35/SF/MO</t>
  </si>
  <si>
    <t>1433 Fulton Ave Sacramento, CA 95825</t>
  </si>
  <si>
    <t>1433</t>
  </si>
  <si>
    <t>Fulton Ave Sacramento</t>
  </si>
  <si>
    <t>$1.25 - $1.85/SF/YR</t>
  </si>
  <si>
    <t>Froom Ranch Way San Luis Obispo, CA 93401</t>
  </si>
  <si>
    <t>Froom</t>
  </si>
  <si>
    <t>Ranch Way San Luis Obispo</t>
  </si>
  <si>
    <t>$3.25 - $3.50/SF/MO</t>
  </si>
  <si>
    <t>154 S E St San Bernardino, CA 92401</t>
  </si>
  <si>
    <t>154</t>
  </si>
  <si>
    <t>S E St San Bernardino</t>
  </si>
  <si>
    <t>670 S E St San Bernardino, CA 92408</t>
  </si>
  <si>
    <t>670</t>
  </si>
  <si>
    <t>$125,000/SF/YR</t>
  </si>
  <si>
    <t>851 W Olive Ave Merced, CA 95348</t>
  </si>
  <si>
    <t>851</t>
  </si>
  <si>
    <t>W Olive Ave Merced</t>
  </si>
  <si>
    <t>$3.14/SF/YR</t>
  </si>
  <si>
    <t>4529 S Vermont Ave Los Angeles, CA 90037</t>
  </si>
  <si>
    <t>4529</t>
  </si>
  <si>
    <t>S Vermont Ave Los Angeles</t>
  </si>
  <si>
    <t>$3/SF/MO</t>
  </si>
  <si>
    <t>456 Clovis Ave Clovis, CA 93612</t>
  </si>
  <si>
    <t>456</t>
  </si>
  <si>
    <t>Clovis Ave Clovis</t>
  </si>
  <si>
    <t>560 W 18th St Merced, CA 95340</t>
  </si>
  <si>
    <t>560 W 18th</t>
  </si>
  <si>
    <t>St Merced</t>
  </si>
  <si>
    <t>$30/SF/YR</t>
  </si>
  <si>
    <t>243 W 2nd St Chico, CA 95928</t>
  </si>
  <si>
    <t>243 W 2nd</t>
  </si>
  <si>
    <t>St Chico</t>
  </si>
  <si>
    <t>$7 - $8/SF/MO</t>
  </si>
  <si>
    <t>10885 Los Alamitos Blvd Los Alamitos, CA 90720</t>
  </si>
  <si>
    <t>10885</t>
  </si>
  <si>
    <t>Los Alamitos Blvd Los Alamitos</t>
  </si>
  <si>
    <t>$2.75/SF/MO</t>
  </si>
  <si>
    <t>10478 Valley Blvd El Monte, CA 91731</t>
  </si>
  <si>
    <t>10478</t>
  </si>
  <si>
    <t>Valley Blvd El Monte</t>
  </si>
  <si>
    <t>$2.25/SF/MO</t>
  </si>
  <si>
    <t>519 E 59th Pl Los Angeles, CA 90003</t>
  </si>
  <si>
    <t>519 E 59th</t>
  </si>
  <si>
    <t>Pl Los Angeles</t>
  </si>
  <si>
    <t>$2.85/SF/MO</t>
  </si>
  <si>
    <t>18955 - 18973 Ventura Blvd Los Angeles, CA 91356</t>
  </si>
  <si>
    <t>18955 - 18973</t>
  </si>
  <si>
    <t>$39/SF/YR</t>
  </si>
  <si>
    <t>1234 Lomita Blvd Los Angeles, CA 90710</t>
  </si>
  <si>
    <t>1234</t>
  </si>
  <si>
    <t>Lomita Blvd Los Angeles</t>
  </si>
  <si>
    <t>$30 - $45/SF/YR</t>
  </si>
  <si>
    <t>5143 W Walnut Ave Visalia, CA 93277</t>
  </si>
  <si>
    <t>5143</t>
  </si>
  <si>
    <t>W Walnut Ave Visalia</t>
  </si>
  <si>
    <t>$150,000/SF/YR</t>
  </si>
  <si>
    <t>2525 Jefferson Blvd West Sacramento, CA 95691</t>
  </si>
  <si>
    <t>2525</t>
  </si>
  <si>
    <t>Jefferson Blvd West Sacramento</t>
  </si>
  <si>
    <t>$3.75 - $5/SF/MO</t>
  </si>
  <si>
    <t>5600 E 7th St Long Beach, CA 90814</t>
  </si>
  <si>
    <t>5600 E 7th</t>
  </si>
  <si>
    <t>St Long Beach</t>
  </si>
  <si>
    <t>$4.95/SF/MO</t>
  </si>
  <si>
    <t>5418 N Blackstone Ave Fresno, CA 93710</t>
  </si>
  <si>
    <t>5418</t>
  </si>
  <si>
    <t>N Blackstone Ave Fresno</t>
  </si>
  <si>
    <t>2 Unit Available Unit</t>
  </si>
  <si>
    <t>3668 Lake Tahoe Blvd South Lake Tahoe, CA 96150</t>
  </si>
  <si>
    <t>3668</t>
  </si>
  <si>
    <t>Lake Tahoe Blvd South Lake Tahoe</t>
  </si>
  <si>
    <t>$2.50/SF/MO</t>
  </si>
  <si>
    <t>901 W Victoria St Compton, CA 90220</t>
  </si>
  <si>
    <t>901</t>
  </si>
  <si>
    <t>W Victoria St Compton</t>
  </si>
  <si>
    <t>$1.99/SF/MO</t>
  </si>
  <si>
    <t>3074 Story Rd San Jose, CA 95127</t>
  </si>
  <si>
    <t>3074</t>
  </si>
  <si>
    <t>Story Rd San Jose</t>
  </si>
  <si>
    <t>1501 N Norma St Ridgecrest, CA 93555</t>
  </si>
  <si>
    <t>1501</t>
  </si>
  <si>
    <t>N Norma St Ridgecrest</t>
  </si>
  <si>
    <t>$0.58/SF/MO</t>
  </si>
  <si>
    <t>1415 4th St Santa Monica, CA 90401</t>
  </si>
  <si>
    <t>1415 4th</t>
  </si>
  <si>
    <t>St Santa Monica</t>
  </si>
  <si>
    <t>$4.15/SF/MO</t>
  </si>
  <si>
    <t>80 E High St Moorpark, CA 93021</t>
  </si>
  <si>
    <t>80</t>
  </si>
  <si>
    <t>E High St Moorpark</t>
  </si>
  <si>
    <t>$3.50 - $4.95/SF/MO</t>
  </si>
  <si>
    <t>33 Union St Pasadena, CA 91103</t>
  </si>
  <si>
    <t>33</t>
  </si>
  <si>
    <t>Union St Pasadena</t>
  </si>
  <si>
    <t>$3.25/SF/MO</t>
  </si>
  <si>
    <t>933 N Broadway Los Angeles, CA 90012</t>
  </si>
  <si>
    <t>933</t>
  </si>
  <si>
    <t>N Broadway Los Angeles</t>
  </si>
  <si>
    <t>$1.50 - $2/SF/MO</t>
  </si>
  <si>
    <t>809-869 W. Hawkeye Ave. Turlock, CA 95380</t>
  </si>
  <si>
    <t>809-869 W. Hawkeye Ave.</t>
  </si>
  <si>
    <t>Turlock</t>
  </si>
  <si>
    <t>5460-5490 Philadelphia St Chino, CA 91710</t>
  </si>
  <si>
    <t>5460-5490</t>
  </si>
  <si>
    <t>Philadelphia St Chino</t>
  </si>
  <si>
    <t>$2.49/SF/MO</t>
  </si>
  <si>
    <t>570 Higuera St San Luis Obispo, CA 93401</t>
  </si>
  <si>
    <t>570</t>
  </si>
  <si>
    <t>Higuera St San Luis Obispo</t>
  </si>
  <si>
    <t>Restaurant Space Available</t>
  </si>
  <si>
    <t>1111 Wilshire Blvd Los Angeles, CA 90017</t>
  </si>
  <si>
    <t>1111</t>
  </si>
  <si>
    <t>Wilshire Blvd Los Angeles</t>
  </si>
  <si>
    <t>4956 Hamner Ave Eastvale, CA 91752</t>
  </si>
  <si>
    <t>4956</t>
  </si>
  <si>
    <t>Hamner Ave Eastvale</t>
  </si>
  <si>
    <t>$10 - $12/SF/YR</t>
  </si>
  <si>
    <t>711 S Atlantic Blvd Alhambra, CA 91803</t>
  </si>
  <si>
    <t>711</t>
  </si>
  <si>
    <t>S Atlantic Blvd Alhambra</t>
  </si>
  <si>
    <t>524 Union St SF, CA 94133</t>
  </si>
  <si>
    <t>524</t>
  </si>
  <si>
    <t>Union St SF</t>
  </si>
  <si>
    <t>$46.44/SF/YR</t>
  </si>
  <si>
    <t>17320 Ventura Blvd Los Angeles, CA 91316</t>
  </si>
  <si>
    <t>17320</t>
  </si>
  <si>
    <t>$3.50 - $4.50/SF/MO</t>
  </si>
  <si>
    <t>3310 Truxtun Ave Bakersfield, CA 93301</t>
  </si>
  <si>
    <t>3310</t>
  </si>
  <si>
    <t>Truxtun Ave Bakersfield</t>
  </si>
  <si>
    <t>$2.35/SF/MO</t>
  </si>
  <si>
    <t>9849 Atlantic Ave South Gate, CA 90280</t>
  </si>
  <si>
    <t>9849</t>
  </si>
  <si>
    <t>Atlantic Ave South Gate</t>
  </si>
  <si>
    <t>$2.25 - $4/SF/MO</t>
  </si>
  <si>
    <t>220 Anacapa St Santa Barbara, CA 93101</t>
  </si>
  <si>
    <t>220</t>
  </si>
  <si>
    <t>Anacapa St Santa Barbara</t>
  </si>
  <si>
    <t>$10,000 - $12,000/SF/MO</t>
  </si>
  <si>
    <t>Retail/Office/Restaurant</t>
  </si>
  <si>
    <t>1000 E Copper Ave Fresno, CA 93730</t>
  </si>
  <si>
    <t>E Copper Ave Fresno</t>
  </si>
  <si>
    <t>$3.50 - $4.25/SF/MO</t>
  </si>
  <si>
    <t>4006 Manzanita Ave Carmichael, CA 95608</t>
  </si>
  <si>
    <t>4006</t>
  </si>
  <si>
    <t>Manzanita Ave Carmichael</t>
  </si>
  <si>
    <t>$11.40 - $21.48/SF/YR</t>
  </si>
  <si>
    <t>1517 H St Sacramento, CA 95814</t>
  </si>
  <si>
    <t>1517</t>
  </si>
  <si>
    <t>H St Sacramento</t>
  </si>
  <si>
    <t>797 W Garvey Ave Monterey Park, CA 91754</t>
  </si>
  <si>
    <t>797</t>
  </si>
  <si>
    <t>W Garvey Ave Monterey Park</t>
  </si>
  <si>
    <t>$6/SF/MO</t>
  </si>
  <si>
    <t>777 S Alameda St Los Angeles, CA 90021</t>
  </si>
  <si>
    <t>777</t>
  </si>
  <si>
    <t>S Alameda St Los Angeles</t>
  </si>
  <si>
    <t>$3 - $5/SF/MO</t>
  </si>
  <si>
    <t>1010 B St Hayward, CA 94541</t>
  </si>
  <si>
    <t>1010</t>
  </si>
  <si>
    <t>B St Hayward</t>
  </si>
  <si>
    <t>$4/SF/MO</t>
  </si>
  <si>
    <t>1710 Tully Rd San Jose, CA 95122</t>
  </si>
  <si>
    <t>1710</t>
  </si>
  <si>
    <t>Tully Rd San Jose</t>
  </si>
  <si>
    <t>$2 - $3.50/SF/MO</t>
  </si>
  <si>
    <t>814 W El Camino Real Sunnyvale, CA 886437</t>
  </si>
  <si>
    <t>$3 - $5.50/SF/MO</t>
  </si>
  <si>
    <t>7340 Monterey Rd Gilroy, CA 95020</t>
  </si>
  <si>
    <t>7340</t>
  </si>
  <si>
    <t>Monterey Rd Gilroy</t>
  </si>
  <si>
    <t>400 Lincoln Blvd Lincoln, CA 95648</t>
  </si>
  <si>
    <t>400</t>
  </si>
  <si>
    <t>Lincoln Blvd Lincoln</t>
  </si>
  <si>
    <t>7600 N Palm Ave Fresno, CA 93711</t>
  </si>
  <si>
    <t>7600</t>
  </si>
  <si>
    <t>N Palm Ave Fresno</t>
  </si>
  <si>
    <t>$1.95 - $2/SF/MO</t>
  </si>
  <si>
    <t>465 Stony Point Rd Santa Rosa, CA 95401</t>
  </si>
  <si>
    <t>465</t>
  </si>
  <si>
    <t>Stony Point Rd Santa Rosa</t>
  </si>
  <si>
    <t>$1.58/SF/MO</t>
  </si>
  <si>
    <t>4500 Inglewood Blvd Culver City, CA 90230</t>
  </si>
  <si>
    <t>4500</t>
  </si>
  <si>
    <t>Inglewood Blvd Culver City</t>
  </si>
  <si>
    <t>$4.45 - $6.11/SF/MO</t>
  </si>
  <si>
    <t>1001 Clark Ave Yuba City, CA 95991</t>
  </si>
  <si>
    <t>1001</t>
  </si>
  <si>
    <t>Clark Ave Yuba City</t>
  </si>
  <si>
    <t>$1.81/SF/MO</t>
  </si>
  <si>
    <t>1141 N Mt Vernon Ave Colton, CA 92324</t>
  </si>
  <si>
    <t>1141</t>
  </si>
  <si>
    <t>N Mt Vernon Ave Colton</t>
  </si>
  <si>
    <t>$1.95/SF/MO</t>
  </si>
  <si>
    <t>902 Waterloo Rd Stockton, CA 95205</t>
  </si>
  <si>
    <t>902</t>
  </si>
  <si>
    <t>Waterloo Rd Stockton</t>
  </si>
  <si>
    <t>Prime Hard Corner - End Cap</t>
  </si>
  <si>
    <t>6211 N Pacific Ave Stockton, CA 95211</t>
  </si>
  <si>
    <t>6211</t>
  </si>
  <si>
    <t>N Pacific Ave Stockton</t>
  </si>
  <si>
    <t>$1.75 - $2.75/SF/MO</t>
  </si>
  <si>
    <t>9540 Washington Blvd Culver City, CA 90232</t>
  </si>
  <si>
    <t>9540</t>
  </si>
  <si>
    <t>Washington Blvd Culver City</t>
  </si>
  <si>
    <t>$5.25/SF/MO</t>
  </si>
  <si>
    <t>25432 S Schulte Rd Tracy, CA 95377</t>
  </si>
  <si>
    <t>25432</t>
  </si>
  <si>
    <t>S Schulte Rd Tracy</t>
  </si>
  <si>
    <t>$3.75 - $4.25/SF/MO</t>
  </si>
  <si>
    <t>14845 Monarch Blvd Victorville, CA 92395</t>
  </si>
  <si>
    <t>14845</t>
  </si>
  <si>
    <t>Monarch Blvd Victorville</t>
  </si>
  <si>
    <t>$1.40 - $1.45/SF/MO</t>
  </si>
  <si>
    <t>1109 W 16th St Merced, CA 95340</t>
  </si>
  <si>
    <t>1109 W 16th</t>
  </si>
  <si>
    <t>2050 Concourse Dr San Jose, CA 95131</t>
  </si>
  <si>
    <t>2050</t>
  </si>
  <si>
    <t>Concourse Dr San Jose</t>
  </si>
  <si>
    <t>605 - 725 High Street Auburn, CA 95603</t>
  </si>
  <si>
    <t>605 - 725</t>
  </si>
  <si>
    <t>High Street Auburn</t>
  </si>
  <si>
    <t>$9 - $21.48/SF/YR</t>
  </si>
  <si>
    <t>8916 Foothill Blvd Rancho Cucamonga, CA 91730</t>
  </si>
  <si>
    <t>8916</t>
  </si>
  <si>
    <t>Foothill Blvd Rancho Cucamonga</t>
  </si>
  <si>
    <t>$1.15 - $2.50/SF/MO</t>
  </si>
  <si>
    <t>549 Old Mammoth Rd Mammoth Lakes, CA 93546</t>
  </si>
  <si>
    <t>549</t>
  </si>
  <si>
    <t>Old Mammoth Rd Mammoth Lakes</t>
  </si>
  <si>
    <t>$28.40/SF/YR</t>
  </si>
  <si>
    <t>2300 E 4th St Long Beach, CA 90814</t>
  </si>
  <si>
    <t>2300 E 4th</t>
  </si>
  <si>
    <t>$3.15/SF/MO</t>
  </si>
  <si>
    <t>444 N Harbor Blvd Fullerton, CA 92832</t>
  </si>
  <si>
    <t>444</t>
  </si>
  <si>
    <t>N Harbor Blvd Fullerton</t>
  </si>
  <si>
    <t>$3.77/SF/MO</t>
  </si>
  <si>
    <t>24427 Crenshaw Blvd Torrance, CA 90505</t>
  </si>
  <si>
    <t>24427</t>
  </si>
  <si>
    <t>Crenshaw Blvd Torrance</t>
  </si>
  <si>
    <t>$4.50 - $5/SF/MO</t>
  </si>
  <si>
    <t>420 S 1st Ave Arcadia, CA 91006</t>
  </si>
  <si>
    <t>420 S 1st</t>
  </si>
  <si>
    <t>Ave Arcadia</t>
  </si>
  <si>
    <t>$6.46/SF/MO</t>
  </si>
  <si>
    <t>1700 Niles St Bakersfield, CA 93305</t>
  </si>
  <si>
    <t>1700</t>
  </si>
  <si>
    <t>Niles St Bakersfield</t>
  </si>
  <si>
    <t>$1.87/SF/MO</t>
  </si>
  <si>
    <t>1600 E Belmont Ave Fresno, CA 93701</t>
  </si>
  <si>
    <t>1600</t>
  </si>
  <si>
    <t>E Belmont Ave Fresno</t>
  </si>
  <si>
    <t>$1.80/SF/MO</t>
  </si>
  <si>
    <t>5818 Melrose Ave Los Angeles, CA 90038</t>
  </si>
  <si>
    <t>5818</t>
  </si>
  <si>
    <t>Melrose Ave Los Angeles</t>
  </si>
  <si>
    <t>$51/SF/YR</t>
  </si>
  <si>
    <t>2000 De La Vina St Santa Barbara, CA 93105</t>
  </si>
  <si>
    <t>2000</t>
  </si>
  <si>
    <t>De La Vina St Santa Barbara</t>
  </si>
  <si>
    <t>$3.10/SF/MO</t>
  </si>
  <si>
    <t>3122 N Millbrook Ave Fresno, CA 93703</t>
  </si>
  <si>
    <t>3122</t>
  </si>
  <si>
    <t>N Millbrook Ave Fresno</t>
  </si>
  <si>
    <t>1500-1600 Palos Verdes Mall Walnut Creek, CA 94597</t>
  </si>
  <si>
    <t>1500-1600</t>
  </si>
  <si>
    <t>Palos Verdes Mall Walnut Creek</t>
  </si>
  <si>
    <t>163 S Ramona Blvd San Jacinto, CA 92583</t>
  </si>
  <si>
    <t>163</t>
  </si>
  <si>
    <t>S Ramona Blvd San Jacinto</t>
  </si>
  <si>
    <t>$2.07 - $3.45/SF/MO</t>
  </si>
  <si>
    <t>An Iconic Landmark Entertainment Venue in the Heart of DTLA</t>
  </si>
  <si>
    <t>1038 S Hill St Los Angeles, CA 90015</t>
  </si>
  <si>
    <t>1038</t>
  </si>
  <si>
    <t>S Hill St Los Angeles</t>
  </si>
  <si>
    <t>$2.17/SF/MO</t>
  </si>
  <si>
    <t>8499 Old Redwood Hwy Windsor, CA 95492</t>
  </si>
  <si>
    <t>8499</t>
  </si>
  <si>
    <t>Old Redwood Hwy Windsor</t>
  </si>
  <si>
    <t>$1.35 - $18/SF/YR</t>
  </si>
  <si>
    <t>709 Main St Woodland, CA 95695</t>
  </si>
  <si>
    <t>709</t>
  </si>
  <si>
    <t>Main St Woodland</t>
  </si>
  <si>
    <t>$1.50 - $1.75/SF/MO</t>
  </si>
  <si>
    <t>For Lease</t>
  </si>
  <si>
    <t>971 S Westlake Blvd Westlake Village, CA 91361</t>
  </si>
  <si>
    <t>971</t>
  </si>
  <si>
    <t>S Westlake Blvd Westlake Village</t>
  </si>
  <si>
    <t>$5.50/SF/MO</t>
  </si>
  <si>
    <t>NWC MAGNOLIA AVENUE AND RIMPAU AVENUE Corona, CA 92879</t>
  </si>
  <si>
    <t>NWC</t>
  </si>
  <si>
    <t>MAGNOLIA AVENUE AND RIMPAU AVENUE Corona</t>
  </si>
  <si>
    <t>$1.50 - $3.25/SF/MO</t>
  </si>
  <si>
    <t>2nd Gen Restaurant</t>
  </si>
  <si>
    <t>701 W Garvey Ave Monterey Park, CA 91754</t>
  </si>
  <si>
    <t>701</t>
  </si>
  <si>
    <t>$3.90/SF/MO</t>
  </si>
  <si>
    <t>1464 El Camino Real Belmont, CA 94002</t>
  </si>
  <si>
    <t>1464</t>
  </si>
  <si>
    <t>El Camino Real Belmont</t>
  </si>
  <si>
    <t>3601 E Highland Ave Highland, CA 92346</t>
  </si>
  <si>
    <t>3601</t>
  </si>
  <si>
    <t>E Highland Ave Highland</t>
  </si>
  <si>
    <t>38 W Victoria St Santa Barbara, CA 93101</t>
  </si>
  <si>
    <t>38</t>
  </si>
  <si>
    <t>W Victoria St Santa Barbara</t>
  </si>
  <si>
    <t>$10.87 - $19.13/SF/MO</t>
  </si>
  <si>
    <t>M &amp; M Shopping Center</t>
  </si>
  <si>
    <t>5800 Madison Ave Sacramento, CA 95841</t>
  </si>
  <si>
    <t>5800</t>
  </si>
  <si>
    <t>Madison Ave Sacramento</t>
  </si>
  <si>
    <t>$12 - $15/SF/YR</t>
  </si>
  <si>
    <t>692 Sutter St SF, CA 94102</t>
  </si>
  <si>
    <t>692</t>
  </si>
  <si>
    <t>Sutter St SF</t>
  </si>
  <si>
    <t>1702 CA-46 Wasco, CA 93280</t>
  </si>
  <si>
    <t>1702 CA-46</t>
  </si>
  <si>
    <t>Wasco</t>
  </si>
  <si>
    <t>8058 N Cedar Ave Fresno, CA 93720</t>
  </si>
  <si>
    <t>8058</t>
  </si>
  <si>
    <t>N Cedar Ave Fresno</t>
  </si>
  <si>
    <t>4334 W Sunset Blvd Los Angeles, CA 90029</t>
  </si>
  <si>
    <t>4334</t>
  </si>
  <si>
    <t>W Sunset Blvd Los Angeles</t>
  </si>
  <si>
    <t>$6 - $7/SF/MO</t>
  </si>
  <si>
    <t>606 Mission St SF, CA 94105</t>
  </si>
  <si>
    <t>606</t>
  </si>
  <si>
    <t>Mission St SF</t>
  </si>
  <si>
    <t>$5.75/SF/MO</t>
  </si>
  <si>
    <t>131-251 S Mednik Ave East Los Angeles, CA 90022</t>
  </si>
  <si>
    <t>131-251</t>
  </si>
  <si>
    <t>S Mednik Ave East Los Angeles</t>
  </si>
  <si>
    <t>$2.50 - $4/SF/MO</t>
  </si>
  <si>
    <t>625 E Artesia Blvd Long Beach, CA 90805</t>
  </si>
  <si>
    <t>625</t>
  </si>
  <si>
    <t>E Artesia Blvd Long Beach</t>
  </si>
  <si>
    <t>$4 - $6/SF/MO</t>
  </si>
  <si>
    <t>15300 Ventura Blvd Los Angeles, CA 91403</t>
  </si>
  <si>
    <t>15300</t>
  </si>
  <si>
    <t>$3.75/SF/MO</t>
  </si>
  <si>
    <t>2450 N Brawley Ave Fresno, CA 93722</t>
  </si>
  <si>
    <t>2450</t>
  </si>
  <si>
    <t>N Brawley Ave Fresno</t>
  </si>
  <si>
    <t>1546 Camden Ave Campbell, CA 95008</t>
  </si>
  <si>
    <t>1546</t>
  </si>
  <si>
    <t>Camden Ave Campbell</t>
  </si>
  <si>
    <t>$74.34/SF/YR</t>
  </si>
  <si>
    <t>2401 Mission St San Francisco, CA 94110</t>
  </si>
  <si>
    <t>2401</t>
  </si>
  <si>
    <t>Mission St San Francisco</t>
  </si>
  <si>
    <t>4843 W Century Blvd Inglewood, CA 90304</t>
  </si>
  <si>
    <t>4843</t>
  </si>
  <si>
    <t>W Century Blvd Inglewood</t>
  </si>
  <si>
    <t>7217 Melrose Ave Los Angeles, CA 90046</t>
  </si>
  <si>
    <t>7217</t>
  </si>
  <si>
    <t>$5.60/SF/MO</t>
  </si>
  <si>
    <t>11966 Wilshire Blvd Los Angeles, CA 90025</t>
  </si>
  <si>
    <t>11966</t>
  </si>
  <si>
    <t>901 Abbot Kinney Blvd Venice, CA 90291</t>
  </si>
  <si>
    <t>Abbot Kinney Blvd Venice</t>
  </si>
  <si>
    <t>$8/SF/MO</t>
  </si>
  <si>
    <t>20200 CA-18 Apple Valley, CA 92307</t>
  </si>
  <si>
    <t>20200 CA-18</t>
  </si>
  <si>
    <t>Apple Valley</t>
  </si>
  <si>
    <t>4307 - 4419 Elkhorn Blvd Sacramento, CA 95842</t>
  </si>
  <si>
    <t>4307 - 4419</t>
  </si>
  <si>
    <t>Elkhorn Blvd Sacramento</t>
  </si>
  <si>
    <t>$1.55 - $23.40/SF/YR</t>
  </si>
  <si>
    <t>619 W Carson St Carson, CA 90745</t>
  </si>
  <si>
    <t>619</t>
  </si>
  <si>
    <t>W Carson St Carson</t>
  </si>
  <si>
    <t>$200,000/SF/YR</t>
  </si>
  <si>
    <t>445 1st St Avila Beach, CA 93424</t>
  </si>
  <si>
    <t>445 1st</t>
  </si>
  <si>
    <t>St Avila Beach</t>
  </si>
  <si>
    <t>925 3rd St Sacramento, CA 95814</t>
  </si>
  <si>
    <t>925 3rd</t>
  </si>
  <si>
    <t>St Sacramento</t>
  </si>
  <si>
    <t>810 E Main St Grass Valley, CA 95945</t>
  </si>
  <si>
    <t>810</t>
  </si>
  <si>
    <t>E Main St Grass Valley</t>
  </si>
  <si>
    <t>$4.06/SF/MO</t>
  </si>
  <si>
    <t>628 E Anaheim St Long Beach, CA 90813</t>
  </si>
  <si>
    <t>628</t>
  </si>
  <si>
    <t>E Anaheim St Long Beach</t>
  </si>
  <si>
    <t>$2.25 - $3/SF/MO</t>
  </si>
  <si>
    <t>2440 Sand Creek Rd Brentwood, CA 94513</t>
  </si>
  <si>
    <t>2440</t>
  </si>
  <si>
    <t>Sand Creek Rd Brentwood</t>
  </si>
  <si>
    <t>$1.75 - $3.25/SF/MO</t>
  </si>
  <si>
    <t>1271 - 1301 Commerce Avenue Atwater, CA 95301</t>
  </si>
  <si>
    <t>1271 - 1301</t>
  </si>
  <si>
    <t>Commerce Avenue Atwater</t>
  </si>
  <si>
    <t>3041 Forni Rd Placerville, CA 95667</t>
  </si>
  <si>
    <t>3041</t>
  </si>
  <si>
    <t>Forni Rd Placerville</t>
  </si>
  <si>
    <t>$1.25/SF/MO</t>
  </si>
  <si>
    <t>5948 Auburn Blvd Citrus Heights, CA 95621</t>
  </si>
  <si>
    <t>5948</t>
  </si>
  <si>
    <t>Auburn Blvd Citrus Heights</t>
  </si>
  <si>
    <t>$20.28/SF/YR</t>
  </si>
  <si>
    <t>429 W Arbor Vitae St Inglewood, CA 90301</t>
  </si>
  <si>
    <t>429</t>
  </si>
  <si>
    <t>W Arbor Vitae St Inglewood</t>
  </si>
  <si>
    <t>$6.19/SF/MO</t>
  </si>
  <si>
    <t>16365 Hwy 175 Cobb, CA 95461</t>
  </si>
  <si>
    <t>16365 Hwy 175</t>
  </si>
  <si>
    <t>Cobb</t>
  </si>
  <si>
    <t>$1.04/SF/MO</t>
  </si>
  <si>
    <t>701 W 2nd St San Bernardino, CA 92410</t>
  </si>
  <si>
    <t>701 W 2nd</t>
  </si>
  <si>
    <t>St San Bernardino</t>
  </si>
  <si>
    <t>$0.80 - $2.25/SF/MO</t>
  </si>
  <si>
    <t>9128 Van Nuys Blvd Los Angeles, CA 91402</t>
  </si>
  <si>
    <t>9128</t>
  </si>
  <si>
    <t>Van Nuys Blvd Los Angeles</t>
  </si>
  <si>
    <t>18851-18859 Ventura Blvd Los Angeles, CA 91356</t>
  </si>
  <si>
    <t>18851-18859</t>
  </si>
  <si>
    <t>$34.20/SF/YR</t>
  </si>
  <si>
    <t>5640 Whitelock Pkwy Elk Grove, CA 95757</t>
  </si>
  <si>
    <t>5640</t>
  </si>
  <si>
    <t>Whitelock Pkwy Elk Grove</t>
  </si>
  <si>
    <t>2300 W Olympic Blvd Los Angeles, CA 90006</t>
  </si>
  <si>
    <t>2300</t>
  </si>
  <si>
    <t>W Olympic Blvd Los Angeles</t>
  </si>
  <si>
    <t>$1.50 - $1.90/SF/MO</t>
  </si>
  <si>
    <t>281 Dupont St Corona, CA 92879</t>
  </si>
  <si>
    <t>281</t>
  </si>
  <si>
    <t>Dupont St Corona</t>
  </si>
  <si>
    <t>$2.10/SF/MO</t>
  </si>
  <si>
    <t>437 W 5th St Los Angeles, CA 90013</t>
  </si>
  <si>
    <t>437 W 5th</t>
  </si>
  <si>
    <t>SWC Avenida De Los Arboles / Erbes Road Thousand Oaks, CA 91362</t>
  </si>
  <si>
    <t>SWC Avenida De Los Arboles /</t>
  </si>
  <si>
    <t>Erbes Road Thousand Oaks</t>
  </si>
  <si>
    <t>$3.50 - $5.25/SF/MO</t>
  </si>
  <si>
    <t>1726 Montgomery St Oroville, CA 95965</t>
  </si>
  <si>
    <t>1726</t>
  </si>
  <si>
    <t>Montgomery St Oroville</t>
  </si>
  <si>
    <t>$1 - $1,700/SF/MO</t>
  </si>
  <si>
    <t>685 Cannery Row Monterey, CA 93940</t>
  </si>
  <si>
    <t>685</t>
  </si>
  <si>
    <t>Cannery Row Monterey</t>
  </si>
  <si>
    <t>$3.20/SF/MO</t>
  </si>
  <si>
    <t>Corner Restaurant</t>
  </si>
  <si>
    <t>250 W Santa Fe Ave Fullerton, CA 92832</t>
  </si>
  <si>
    <t>250</t>
  </si>
  <si>
    <t>W Santa Fe Ave Fullerton</t>
  </si>
  <si>
    <t>1215 J St Sacramento, CA 95814</t>
  </si>
  <si>
    <t>1215</t>
  </si>
  <si>
    <t>J St Sacramento</t>
  </si>
  <si>
    <t>463-465 2nd St Oakland, CA 94607</t>
  </si>
  <si>
    <t>463-465 2nd</t>
  </si>
  <si>
    <t>St Oakland</t>
  </si>
  <si>
    <t>$40/SF/YR</t>
  </si>
  <si>
    <t>44430 20th St W Lancaster, CA 93534</t>
  </si>
  <si>
    <t>44430 20th</t>
  </si>
  <si>
    <t>St W Lancaster</t>
  </si>
  <si>
    <t>1500-1512 Sunnyvale Ave Walnut Creek, CA 94597</t>
  </si>
  <si>
    <t>1500-1512</t>
  </si>
  <si>
    <t>Sunnyvale Ave Walnut Creek</t>
  </si>
  <si>
    <t>13730 Foothill Blvd Los Angeles, CA 91342</t>
  </si>
  <si>
    <t>13730</t>
  </si>
  <si>
    <t>Foothill Blvd Los Angeles</t>
  </si>
  <si>
    <t>$1 - $3/SF/MO</t>
  </si>
  <si>
    <t>1905 Commercenter E San Bernardino, CA 92408</t>
  </si>
  <si>
    <t>1905</t>
  </si>
  <si>
    <t>Commercenter E San Bernardino</t>
  </si>
  <si>
    <t>1 E Valley Blvd Alhambra, CA 91801</t>
  </si>
  <si>
    <t>1</t>
  </si>
  <si>
    <t>E Valley Blvd Alhambra</t>
  </si>
  <si>
    <t>$2.50 - $3.50/SF/MO</t>
  </si>
  <si>
    <t>2115 - 2129 N. Bellflower Blvd Long Beach, CA 90815</t>
  </si>
  <si>
    <t>2115 - 2129 N.</t>
  </si>
  <si>
    <t>Bellflower Blvd Long Beach</t>
  </si>
  <si>
    <t>23780 Newhall Ave Santa Clarita, CA 91321</t>
  </si>
  <si>
    <t>23780</t>
  </si>
  <si>
    <t>Newhall Ave Santa Clarita</t>
  </si>
  <si>
    <t>17501 Colima Rd City of Industry, CA 91748</t>
  </si>
  <si>
    <t>17501</t>
  </si>
  <si>
    <t>Colima Rd City of Industry</t>
  </si>
  <si>
    <t>$4.65/SF/MO</t>
  </si>
  <si>
    <t>400 Main St Los Angeles, CA 90013</t>
  </si>
  <si>
    <t>Main St Los Angeles</t>
  </si>
  <si>
    <t>$1.75 - $2/SF/MO</t>
  </si>
  <si>
    <t>435 N Fairfax Ave Los Angeles, CA 90036</t>
  </si>
  <si>
    <t>435</t>
  </si>
  <si>
    <t>N Fairfax Ave Los Angeles</t>
  </si>
  <si>
    <t>$4.03/SF/MO</t>
  </si>
  <si>
    <t>91 N Raymond Ave Pasadena, CA 91103</t>
  </si>
  <si>
    <t>91</t>
  </si>
  <si>
    <t>N Raymond Ave Pasadena</t>
  </si>
  <si>
    <t>$3.50/SF/MO</t>
  </si>
  <si>
    <t>1920 29th St Sacramento, CA 95816</t>
  </si>
  <si>
    <t>1920 29th</t>
  </si>
  <si>
    <t>10061 N Maple Ave Fresno, CA 93730</t>
  </si>
  <si>
    <t>10061</t>
  </si>
  <si>
    <t>N Maple Ave Fresno</t>
  </si>
  <si>
    <t>$2.75 - $3.50/SF/MO</t>
  </si>
  <si>
    <t>5404 S Western Ave Los Angeles, CA 90062</t>
  </si>
  <si>
    <t>5404</t>
  </si>
  <si>
    <t>S Western Ave Los Angeles</t>
  </si>
  <si>
    <t>401 W Grand Ave Grover Beach, CA 93433</t>
  </si>
  <si>
    <t>401</t>
  </si>
  <si>
    <t>W Grand Ave Grover Beach</t>
  </si>
  <si>
    <t>825 Pacific Ave Santa Cruz, CA 95060</t>
  </si>
  <si>
    <t>825</t>
  </si>
  <si>
    <t>Pacific Ave Santa Cruz</t>
  </si>
  <si>
    <t>2277 San Ramon Valley Blvd San Ramon, CA 94583</t>
  </si>
  <si>
    <t>2277</t>
  </si>
  <si>
    <t>San Ramon Valley Blvd San Ramon</t>
  </si>
  <si>
    <t>3115 Pico Blvd Santa Monica, CA 90404</t>
  </si>
  <si>
    <t>3115</t>
  </si>
  <si>
    <t>Pico Blvd Santa Monica</t>
  </si>
  <si>
    <t>45 Rincon Dr Camarillo, CA 93012</t>
  </si>
  <si>
    <t>45</t>
  </si>
  <si>
    <t>Rincon Dr Camarillo</t>
  </si>
  <si>
    <t>1444 Silver Ave SF, CA 94134</t>
  </si>
  <si>
    <t>1444</t>
  </si>
  <si>
    <t>Silver Ave SF</t>
  </si>
  <si>
    <t>25850 Tournament Rd Santa Clarita, CA 91355</t>
  </si>
  <si>
    <t>25850</t>
  </si>
  <si>
    <t>Tournament Rd Santa Clarita</t>
  </si>
  <si>
    <t>$19.80/SF/YR</t>
  </si>
  <si>
    <t>1120 S Grand Ave Los Angeles, CA 90015</t>
  </si>
  <si>
    <t>1120</t>
  </si>
  <si>
    <t>S Grand Ave Los Angeles</t>
  </si>
  <si>
    <t>Office</t>
  </si>
  <si>
    <t>879 West 190th Street Gardena, CA 90248</t>
  </si>
  <si>
    <t>879 West 190th</t>
  </si>
  <si>
    <t>Street Gardena</t>
  </si>
  <si>
    <t>8301 Eagle Lake Dr Evansville, IN 47715</t>
  </si>
  <si>
    <t>8301</t>
  </si>
  <si>
    <t>Eagle Lake Dr Evansville</t>
  </si>
  <si>
    <t>IN</t>
  </si>
  <si>
    <t>$16/SF/YR</t>
  </si>
  <si>
    <t>6601 Folsom Blvd Sacramento, CA 95819</t>
  </si>
  <si>
    <t>6601</t>
  </si>
  <si>
    <t>Folsom Blvd Sacramento</t>
  </si>
  <si>
    <t>$2.69/SF/MO</t>
  </si>
  <si>
    <t>77 Cambon Dr SF, CA 94132</t>
  </si>
  <si>
    <t>77</t>
  </si>
  <si>
    <t>Cambon Dr SF</t>
  </si>
  <si>
    <t>11024 Sepulveda Boulevard</t>
  </si>
  <si>
    <t>226 F St Davis, CA 95616</t>
  </si>
  <si>
    <t>226</t>
  </si>
  <si>
    <t>F St Davis</t>
  </si>
  <si>
    <t>$3 - $3.50/SF/MO</t>
  </si>
  <si>
    <t>10375 Folsom Blvd Rancho Cordova, CA 95670</t>
  </si>
  <si>
    <t>10375</t>
  </si>
  <si>
    <t>Folsom Blvd Rancho Cordova</t>
  </si>
  <si>
    <t>$10.20 - $46.20/SF/YR</t>
  </si>
  <si>
    <t>5360 W Spruce Ave Fresno, CA 93722</t>
  </si>
  <si>
    <t>5360</t>
  </si>
  <si>
    <t>W Spruce Ave Fresno</t>
  </si>
  <si>
    <t>$1.20 - $1.40/SF/MO</t>
  </si>
  <si>
    <t>2667 Tapo Canyon Rd Simi Valley, CA 93063</t>
  </si>
  <si>
    <t>2667</t>
  </si>
  <si>
    <t>Tapo Canyon Rd Simi Valley</t>
  </si>
  <si>
    <t>1800 3rd St Sacramento, CA 95811</t>
  </si>
  <si>
    <t>1800 3rd</t>
  </si>
  <si>
    <t>1935 Foothill Pkwy Corona, CA 92881</t>
  </si>
  <si>
    <t>1935</t>
  </si>
  <si>
    <t>Foothill Pkwy Corona</t>
  </si>
  <si>
    <t>1200 S Greenwood Ave Montebello, CA 90640</t>
  </si>
  <si>
    <t>1200</t>
  </si>
  <si>
    <t>S Greenwood Ave Montebello</t>
  </si>
  <si>
    <t>560 S Main St Los Angeles, CA 90013</t>
  </si>
  <si>
    <t>560</t>
  </si>
  <si>
    <t>S Main St Los Angeles</t>
  </si>
  <si>
    <t>$1 - $2/SF/MO</t>
  </si>
  <si>
    <t>13947 Palm Dr Desert Hot Springs, CA 92240</t>
  </si>
  <si>
    <t>13947</t>
  </si>
  <si>
    <t>Palm Dr Desert Hot Springs</t>
  </si>
  <si>
    <t>$1.18/SF/MO</t>
  </si>
  <si>
    <t>5410 Wilshire Blvd Los Angeles, CA 90036</t>
  </si>
  <si>
    <t>5410</t>
  </si>
  <si>
    <t>2300A W Olympic Blvd Los Angeles, CA 90006</t>
  </si>
  <si>
    <t>2300A</t>
  </si>
  <si>
    <t>11070 - 11082 Coloma Rd Rancho Cordova, CA 95670</t>
  </si>
  <si>
    <t>11070 - 11082</t>
  </si>
  <si>
    <t>Coloma Rd Rancho Cordova</t>
  </si>
  <si>
    <t>$1.39/SF/MO</t>
  </si>
  <si>
    <t>2200 S Azusa Ave West Covina, CA 91792</t>
  </si>
  <si>
    <t>2200</t>
  </si>
  <si>
    <t>S Azusa Ave West Covina</t>
  </si>
  <si>
    <t>5929 W Sunset Blvd Los Angeles, CA 90028</t>
  </si>
  <si>
    <t>5929</t>
  </si>
  <si>
    <t>$4 - $5/SF/MO</t>
  </si>
  <si>
    <t>19200 Ventura Blvd Los Angeles, CA 91356</t>
  </si>
  <si>
    <t>19200</t>
  </si>
  <si>
    <t>$4.45/SF/YR</t>
  </si>
  <si>
    <t>5040 N West Ave Fresno, CA 93711</t>
  </si>
  <si>
    <t>5040</t>
  </si>
  <si>
    <t>N West Ave Fresno</t>
  </si>
  <si>
    <t>$22.20/SF/YR</t>
  </si>
  <si>
    <t>22141 Ventura Blvd Woodland Hills, CA 91364</t>
  </si>
  <si>
    <t>22141</t>
  </si>
  <si>
    <t>Ventura Blvd Woodland Hills</t>
  </si>
  <si>
    <t>535 S Lake Ave Pasadena, CA 91101</t>
  </si>
  <si>
    <t>535</t>
  </si>
  <si>
    <t>S Lake Ave Pasadena</t>
  </si>
  <si>
    <t>5080 California Ave Bakersfield, CA 93309</t>
  </si>
  <si>
    <t>5080</t>
  </si>
  <si>
    <t>California Ave Bakersfield</t>
  </si>
  <si>
    <t>$1.85/SF/MO</t>
  </si>
  <si>
    <t>Restaurant with Hood OR Convert to Office Space - FOR LEASE</t>
  </si>
  <si>
    <t>947 W Olive Ave Porterville, CA 93257</t>
  </si>
  <si>
    <t>947</t>
  </si>
  <si>
    <t>W Olive Ave Porterville</t>
  </si>
  <si>
    <t>2498 Erringer Rd Simi Valley, CA 93065</t>
  </si>
  <si>
    <t>2498</t>
  </si>
  <si>
    <t>Erringer Rd Simi Valley</t>
  </si>
  <si>
    <t>4820 S Eastern Ave Commerce, CA 90040</t>
  </si>
  <si>
    <t>4820</t>
  </si>
  <si>
    <t>S Eastern Ave Commerce</t>
  </si>
  <si>
    <t>$1.55 - $2.20/SF/MO</t>
  </si>
  <si>
    <t>3450 Lake Tahoe Blvd South Lake Tahoe, CA 96150</t>
  </si>
  <si>
    <t>3450</t>
  </si>
  <si>
    <t>817-821 Los Angeles, CA 90014</t>
  </si>
  <si>
    <t>817-821</t>
  </si>
  <si>
    <t>Los Angeles</t>
  </si>
  <si>
    <t>$1.22/SF/MO</t>
  </si>
  <si>
    <t>774 N Virgil Ave Los Angeles, CA 90029</t>
  </si>
  <si>
    <t>774</t>
  </si>
  <si>
    <t>N Virgil Ave Los Angeles</t>
  </si>
  <si>
    <t>$4 - $4.25/SF/MO</t>
  </si>
  <si>
    <t>7507 W Sunset Blvd Los Angeles, CA 90046</t>
  </si>
  <si>
    <t>7507</t>
  </si>
  <si>
    <t>$4.44 - $6.25/SF/MO</t>
  </si>
  <si>
    <t>6001-6021 Pacific Blvd Huntington Park, CA 90255</t>
  </si>
  <si>
    <t>6001-6021</t>
  </si>
  <si>
    <t>Pacific Blvd Huntington Park</t>
  </si>
  <si>
    <t>614 Academy Ave Sanger, CA 93657</t>
  </si>
  <si>
    <t>614</t>
  </si>
  <si>
    <t>Academy Ave Sanger</t>
  </si>
  <si>
    <t>30105 - 30135 Agoura Rd Agoura Hills, CA 91301</t>
  </si>
  <si>
    <t>30105 - 30135</t>
  </si>
  <si>
    <t>Agoura Rd Agoura Hills</t>
  </si>
  <si>
    <t>$2.25 - $2.75/SF/MO</t>
  </si>
  <si>
    <t>1460 N Lovers Lane Ukiah, CA 95482</t>
  </si>
  <si>
    <t>1460</t>
  </si>
  <si>
    <t>N Lovers Lane Ukiah</t>
  </si>
  <si>
    <t>8783 W Pico Boulevard Los Angeles, CA 90035</t>
  </si>
  <si>
    <t>8783</t>
  </si>
  <si>
    <t>W Pico Boulevard Los Angeles</t>
  </si>
  <si>
    <t>$3.95/SF/MO</t>
  </si>
  <si>
    <t>308 W Valley Blvd San Gabriel, CA 91776</t>
  </si>
  <si>
    <t>308</t>
  </si>
  <si>
    <t>W Valley Blvd San Gabriel</t>
  </si>
  <si>
    <t>1616 Martin Luther King Jr Way Merced, CA 95340</t>
  </si>
  <si>
    <t>1616</t>
  </si>
  <si>
    <t>Martin Luther King Jr Way Merced</t>
  </si>
  <si>
    <t>2901 Sunrise Blvd Rancho Cordova, CA 95742</t>
  </si>
  <si>
    <t>2901</t>
  </si>
  <si>
    <t>Sunrise Blvd Rancho Cordova</t>
  </si>
  <si>
    <t>1281 E La Habra Blvd La Habra, CA 90631</t>
  </si>
  <si>
    <t>1281</t>
  </si>
  <si>
    <t>E La Habra Blvd La Habra</t>
  </si>
  <si>
    <t>2030 W 8th St Los Angeles, CA 90057</t>
  </si>
  <si>
    <t>2030 W 8th</t>
  </si>
  <si>
    <t>$2 - $4.25/SF/MO</t>
  </si>
  <si>
    <t>595 East Colorado Blvd Pasadena, CA 91101</t>
  </si>
  <si>
    <t>595</t>
  </si>
  <si>
    <t>East Colorado Blvd Pasadena</t>
  </si>
  <si>
    <t>$43.20 - $44.40/SF/YR</t>
  </si>
  <si>
    <t>EndCap Retail/Food Unit</t>
  </si>
  <si>
    <t>20790 Hawthorne Blvd Torrance, CA 90503</t>
  </si>
  <si>
    <t>20790</t>
  </si>
  <si>
    <t>Hawthorne Blvd Torrance</t>
  </si>
  <si>
    <t>2550 El Camino Real Redwood City, CA 94061</t>
  </si>
  <si>
    <t>2550</t>
  </si>
  <si>
    <t>El Camino Real Redwood City</t>
  </si>
  <si>
    <t>$2.95/SF/MO</t>
  </si>
  <si>
    <t>1410 S Azusa Ave West Covina, CA 91791</t>
  </si>
  <si>
    <t>1410</t>
  </si>
  <si>
    <t>212 Madonna Rd San Luis Obispo, CA 93405</t>
  </si>
  <si>
    <t>212</t>
  </si>
  <si>
    <t>Madonna Rd San Luis Obispo</t>
  </si>
  <si>
    <t>321 Main St El Segundo, CA 90245</t>
  </si>
  <si>
    <t>321</t>
  </si>
  <si>
    <t>Main St El Segundo</t>
  </si>
  <si>
    <t>$3.33/SF/MO</t>
  </si>
  <si>
    <t>241 W East Ave Chico, CA 95926</t>
  </si>
  <si>
    <t>241</t>
  </si>
  <si>
    <t>W East Ave Chico</t>
  </si>
  <si>
    <t>1989 Peabody Rd Vacaville, CA 95687</t>
  </si>
  <si>
    <t>1989</t>
  </si>
  <si>
    <t>Peabody Rd Vacaville</t>
  </si>
  <si>
    <t>1575 Calle Joaquin San Luis Obispo, CA 93405</t>
  </si>
  <si>
    <t>1575</t>
  </si>
  <si>
    <t>Calle Joaquin San Luis Obispo</t>
  </si>
  <si>
    <t>4188 E Dakota Ave Fresno, CA 93726</t>
  </si>
  <si>
    <t>4188</t>
  </si>
  <si>
    <t>E Dakota Ave Fresno</t>
  </si>
  <si>
    <t>Wine Tasting Room</t>
  </si>
  <si>
    <t>501 Parducci Rd Ukiah, CA 95482</t>
  </si>
  <si>
    <t>501</t>
  </si>
  <si>
    <t>Parducci Rd Ukiah</t>
  </si>
  <si>
    <t>19633 Industry Pkwy Dr Bakersfield, CA 93308</t>
  </si>
  <si>
    <t>19633</t>
  </si>
  <si>
    <t>Industry Pkwy Dr Bakersfield</t>
  </si>
  <si>
    <t>$18.50/SF/YR</t>
  </si>
  <si>
    <t>1127 - 1131 S Fremont Ave Alhambra, CA 91803</t>
  </si>
  <si>
    <t>1127 - 1131</t>
  </si>
  <si>
    <t>S Fremont Ave Alhambra</t>
  </si>
  <si>
    <t>$2.75 - $3/SF/MO</t>
  </si>
  <si>
    <t>5924-5930 York Blvd Los Angeles, CA 90042</t>
  </si>
  <si>
    <t>5924-5930</t>
  </si>
  <si>
    <t>York Blvd Los Angeles</t>
  </si>
  <si>
    <t>$4.16/SF/MO</t>
  </si>
  <si>
    <t>110 Tank Farm Rd San Luis Obispo, CA 93401</t>
  </si>
  <si>
    <t>110</t>
  </si>
  <si>
    <t>Tank Farm Rd San Luis Obispo</t>
  </si>
  <si>
    <t>$2.50 - $2.75/SF/MO</t>
  </si>
  <si>
    <t>5363 Camden Ave San Jose, CA 95124</t>
  </si>
  <si>
    <t>5363</t>
  </si>
  <si>
    <t>Camden Ave San Jose</t>
  </si>
  <si>
    <t>3017 Wilson Rd Bakersfield, CA 93304</t>
  </si>
  <si>
    <t>3017</t>
  </si>
  <si>
    <t>Wilson Rd Bakersfield</t>
  </si>
  <si>
    <t>$1.25 - $1.75/SF/YR</t>
  </si>
  <si>
    <t>913 K St Sacramento, CA 95811</t>
  </si>
  <si>
    <t>913</t>
  </si>
  <si>
    <t>K St Sacramento</t>
  </si>
  <si>
    <t>$2/SF/YR</t>
  </si>
  <si>
    <t>1772 N Tustin St Orange, CA 92865</t>
  </si>
  <si>
    <t>1772</t>
  </si>
  <si>
    <t>N Tustin St Orange</t>
  </si>
  <si>
    <t>$36/SF/YR</t>
  </si>
  <si>
    <t>3107 Beverly Blvd Los Angeles, CA 90026</t>
  </si>
  <si>
    <t>3107</t>
  </si>
  <si>
    <t>Beverly Blvd Los Angeles</t>
  </si>
  <si>
    <t>$2.25/SF/YR</t>
  </si>
  <si>
    <t>536 N Larchmont Blvd Los Angeles, CA 90004</t>
  </si>
  <si>
    <t>536</t>
  </si>
  <si>
    <t>N Larchmont Blvd Los Angeles</t>
  </si>
  <si>
    <t>$4.07/SF/MO</t>
  </si>
  <si>
    <t>4420 Main St Los Angeles, CA 90037</t>
  </si>
  <si>
    <t>4420</t>
  </si>
  <si>
    <t>46615-46635 Mission Boulevard, Fremont, CA 94539</t>
  </si>
  <si>
    <t>46615-46635 Mission Boulevard,</t>
  </si>
  <si>
    <t>Fremont</t>
  </si>
  <si>
    <t>$57 - $63/SF/YR</t>
  </si>
  <si>
    <t>1155 S Grand Ave Los Angeles, CA 90015</t>
  </si>
  <si>
    <t>1155</t>
  </si>
  <si>
    <t>209-345 Town Center West Santa Maria, CA 93458</t>
  </si>
  <si>
    <t>209-345</t>
  </si>
  <si>
    <t>Town Center West Santa Maria</t>
  </si>
  <si>
    <t>$1.65 - $1.75/SF/MO</t>
  </si>
  <si>
    <t>3251 Beverly Blvd Los Angeles, CA 90057</t>
  </si>
  <si>
    <t>3251</t>
  </si>
  <si>
    <t>$30 - $36/SF/YR</t>
  </si>
  <si>
    <t>58080 29 Palms Hwy Yucca Valley, CA 92284</t>
  </si>
  <si>
    <t>58080 29</t>
  </si>
  <si>
    <t>$1.60 - $1.85/SF/MO</t>
  </si>
  <si>
    <t>4885 Truxtun Ave Bakersfield, CA 93309</t>
  </si>
  <si>
    <t>4885</t>
  </si>
  <si>
    <t>$1.85 - $2/SF/MO</t>
  </si>
  <si>
    <t>700 Arneill Rd Camarillo, CA 93010</t>
  </si>
  <si>
    <t>700</t>
  </si>
  <si>
    <t>Arneill Rd Camarillo</t>
  </si>
  <si>
    <t>505 Flower St Los Angeles, CA 90071</t>
  </si>
  <si>
    <t>505</t>
  </si>
  <si>
    <t>Flower St Los Angeles</t>
  </si>
  <si>
    <t>2404 Sepulveda Blvd Torrance, CA 90501</t>
  </si>
  <si>
    <t>2404</t>
  </si>
  <si>
    <t>Sepulveda Blvd Torrance</t>
  </si>
  <si>
    <t>1200 S Broadway Los Angeles, CA 90015</t>
  </si>
  <si>
    <t>530 Los Angeles Ave Moorpark, CA 93021</t>
  </si>
  <si>
    <t>530</t>
  </si>
  <si>
    <t>Los Angeles Ave Moorpark</t>
  </si>
  <si>
    <t>$18.60 - $23.88/SF/YR</t>
  </si>
  <si>
    <t>3500 Wilshire Blvd Los Angeles, CA 90010</t>
  </si>
  <si>
    <t>3500</t>
  </si>
  <si>
    <t>777 E Tahquitz Canyon Way Palm Springs, CA 92262</t>
  </si>
  <si>
    <t>E Tahquitz Canyon Way Palm Springs</t>
  </si>
  <si>
    <t>2200 Trojan Wy Los Angeles, CA 90033</t>
  </si>
  <si>
    <t>Trojan Wy Los Angeles</t>
  </si>
  <si>
    <t>931 State St Santa Barbara, CA 93101</t>
  </si>
  <si>
    <t>931</t>
  </si>
  <si>
    <t>State St Santa Barbara</t>
  </si>
  <si>
    <t>$2.12 - $2.95/SF/MO</t>
  </si>
  <si>
    <t>801 K St Sacramento, CA 95814</t>
  </si>
  <si>
    <t>801</t>
  </si>
  <si>
    <t>973 S Westlake Blvd Westlake Village, CA 91361</t>
  </si>
  <si>
    <t>973</t>
  </si>
  <si>
    <t>$5/SF/MO</t>
  </si>
  <si>
    <t>743 E Monte Vista Ave Vacaville, CA 95688</t>
  </si>
  <si>
    <t>743</t>
  </si>
  <si>
    <t>E Monte Vista Ave Vacaville</t>
  </si>
  <si>
    <t>3165 Broad St San Luis Obispo, CA 93401</t>
  </si>
  <si>
    <t>3165</t>
  </si>
  <si>
    <t>Broad St San Luis Obispo</t>
  </si>
  <si>
    <t>$1.65/SF/YR</t>
  </si>
  <si>
    <t>2851 Highland Ave Selma, CA 93662</t>
  </si>
  <si>
    <t>2851</t>
  </si>
  <si>
    <t>Highland Ave Selma</t>
  </si>
  <si>
    <t>531-553 N Pacific Coast Hwy Redondo Beach, CA 90277</t>
  </si>
  <si>
    <t>531-553</t>
  </si>
  <si>
    <t>N Pacific Coast Hwy Redondo Beach</t>
  </si>
  <si>
    <t>7475 N Palm Ave Fresno, CA 93711</t>
  </si>
  <si>
    <t>7475</t>
  </si>
  <si>
    <t>803-819 State Street; 8-12 W. De La Guerra Street Santa Barbara, CA 93101</t>
  </si>
  <si>
    <t>803-819 State Street; 8-12 W.</t>
  </si>
  <si>
    <t>De La Guerra Street Santa Barbara</t>
  </si>
  <si>
    <t>$4.50 - $8/SF/MO</t>
  </si>
  <si>
    <t>900 N Broadway Los Angeles, CA 90012</t>
  </si>
  <si>
    <t>900</t>
  </si>
  <si>
    <t>$2.90 - $3.50/SF/MO</t>
  </si>
  <si>
    <t>1000 W 8th St Los Angeles, CA 90017</t>
  </si>
  <si>
    <t>1000 W 8th</t>
  </si>
  <si>
    <t>1014 10th St Sacramento, CA 95814</t>
  </si>
  <si>
    <t>1014 10th</t>
  </si>
  <si>
    <t>8075 Saratoga Way - Pad 1 - El Dorado Hills, CA El Dorado Hills, CA 95762</t>
  </si>
  <si>
    <t>8075 Saratoga Way - Pad 1 - El Dorado Hills,</t>
  </si>
  <si>
    <t>CA El Dorado Hills</t>
  </si>
  <si>
    <t>$3.50 - $4/SF/MO</t>
  </si>
  <si>
    <t>7307-7309 Canoga Avenue Los Angeles, CA 91303</t>
  </si>
  <si>
    <t>7307-7309</t>
  </si>
  <si>
    <t>Canoga Avenue Los Angeles</t>
  </si>
  <si>
    <t>$1.99 - $2.35/SF/MO</t>
  </si>
  <si>
    <t>High Traffic Strip Center</t>
  </si>
  <si>
    <t>101 E Foothill Blvd Pomona, CA 91767</t>
  </si>
  <si>
    <t>101</t>
  </si>
  <si>
    <t>E Foothill Blvd Pomona</t>
  </si>
  <si>
    <t>$15/SF/YR</t>
  </si>
  <si>
    <t>3298 E McKinley Ave Fresno, CA 93703</t>
  </si>
  <si>
    <t>3298</t>
  </si>
  <si>
    <t>E McKinley Ave Fresno</t>
  </si>
  <si>
    <t>$1.05 - $2,300/SF/MO</t>
  </si>
  <si>
    <t>Villaggio Toscano</t>
  </si>
  <si>
    <t>1260-1290 Healdsburg Ave Healdsburg, CA 95448</t>
  </si>
  <si>
    <t>1260-1290</t>
  </si>
  <si>
    <t>Healdsburg Ave Healdsburg</t>
  </si>
  <si>
    <t>$2 - $2.25/SF/MO</t>
  </si>
  <si>
    <t>5707 Corsa Ave Westlake Village, CA 91362</t>
  </si>
  <si>
    <t>5707</t>
  </si>
  <si>
    <t>Corsa Ave Westlake Village</t>
  </si>
  <si>
    <t>$2.35/SF/YR</t>
  </si>
  <si>
    <t>115 Hartz Ave Danville, CA 94526</t>
  </si>
  <si>
    <t>115</t>
  </si>
  <si>
    <t>Hartz Ave Danville</t>
  </si>
  <si>
    <t>$4.75/SF/MO</t>
  </si>
  <si>
    <t>8101 Long Beach Blvd South Gate, CA 90280</t>
  </si>
  <si>
    <t>8101</t>
  </si>
  <si>
    <t>Long Beach Blvd South Gate</t>
  </si>
  <si>
    <t>$1.50 - $2.25/SF/MO</t>
  </si>
  <si>
    <t>134 N Main St Porterville, CA 93257</t>
  </si>
  <si>
    <t>134</t>
  </si>
  <si>
    <t>N Main St Porterville</t>
  </si>
  <si>
    <t>5060 California Ave Bakersfield, CA 93309</t>
  </si>
  <si>
    <t>5060</t>
  </si>
  <si>
    <t>2306 Encinal Ave Alameda, CA 94501</t>
  </si>
  <si>
    <t>2306</t>
  </si>
  <si>
    <t>Encinal Ave Alameda</t>
  </si>
  <si>
    <t>1109 S Pacific Coast Hwy Redondo Beach, CA 90277</t>
  </si>
  <si>
    <t>1109</t>
  </si>
  <si>
    <t>S Pacific Coast Hwy Redondo Beach</t>
  </si>
  <si>
    <t>$4.43/SF/MO</t>
  </si>
  <si>
    <t>407 Walnut St A&amp;B Chico, CA 95928</t>
  </si>
  <si>
    <t>407 Walnut St A&amp;B</t>
  </si>
  <si>
    <t>Chico</t>
  </si>
  <si>
    <t>$1.35/SF/MO</t>
  </si>
  <si>
    <t>222 E 10th St Long Beach, CA 90813</t>
  </si>
  <si>
    <t>222 E 10th</t>
  </si>
  <si>
    <t>$7.02/SF/MO</t>
  </si>
  <si>
    <t>2200 E Highland Ave San Bernardino, CA 92404</t>
  </si>
  <si>
    <t>E Highland Ave San Bernardino</t>
  </si>
  <si>
    <t>938 Embarcadero del Norte Goleta, CA 93117</t>
  </si>
  <si>
    <t>938</t>
  </si>
  <si>
    <t>Embarcadero del Norte Goleta</t>
  </si>
  <si>
    <t>1007 E Bidwell St Folsom, CA 95630</t>
  </si>
  <si>
    <t>E Bidwell St Folsom</t>
  </si>
  <si>
    <t>$2.20 - $2.50/SF/MO</t>
  </si>
  <si>
    <t>761 N Archibald Ave Ontario, CA 91764</t>
  </si>
  <si>
    <t>761</t>
  </si>
  <si>
    <t>N Archibald Ave Ontario</t>
  </si>
  <si>
    <t>$5.71/SF/MO</t>
  </si>
  <si>
    <t>8922 Beverly Blvd Pico Rivera, CA 90660</t>
  </si>
  <si>
    <t>8922</t>
  </si>
  <si>
    <t>Beverly Blvd Pico Rivera</t>
  </si>
  <si>
    <t>$1 - $1.50/SF/MO</t>
  </si>
  <si>
    <t>523 E Main St Ventura, CA 93001</t>
  </si>
  <si>
    <t>523</t>
  </si>
  <si>
    <t>E Main St Ventura</t>
  </si>
  <si>
    <t>$2.89/SF/MO</t>
  </si>
  <si>
    <t>601-605 15TH STREET Sacramento, CA 95814</t>
  </si>
  <si>
    <t>601-605 15TH</t>
  </si>
  <si>
    <t>STREET Sacramento</t>
  </si>
  <si>
    <t>Units of Restaurant with Open Kitchen Plaza</t>
  </si>
  <si>
    <t>$1.25 - $1.50/SF/MO</t>
  </si>
  <si>
    <t>4910 W Adams Blvd Los Angeles, CA 90016</t>
  </si>
  <si>
    <t>4910</t>
  </si>
  <si>
    <t>W Adams Blvd Los Angeles</t>
  </si>
  <si>
    <t>130 S Mountain Ave Upland, CA 91786</t>
  </si>
  <si>
    <t>130</t>
  </si>
  <si>
    <t>S Mountain Ave Upland</t>
  </si>
  <si>
    <t>$1.45/SF/MO</t>
  </si>
  <si>
    <t>12050 Ventura Blvd Los Angeles, CA 91604</t>
  </si>
  <si>
    <t>12050</t>
  </si>
  <si>
    <t>$48 - $84/SF/YR</t>
  </si>
  <si>
    <t>1267 Sartori Ave Torrance, CA 90501</t>
  </si>
  <si>
    <t>1267</t>
  </si>
  <si>
    <t>Sartori Ave Torrance</t>
  </si>
  <si>
    <t>23029 Soledad Canyon Rd Santa Clarita, CA 91350</t>
  </si>
  <si>
    <t>23029</t>
  </si>
  <si>
    <t>Soledad Canyon Rd Santa Clarita</t>
  </si>
  <si>
    <t>$5.95/SF/MO</t>
  </si>
  <si>
    <t>894 Folsom St San Francisco, CA 94107</t>
  </si>
  <si>
    <t>894</t>
  </si>
  <si>
    <t>Folsom St San Francisco</t>
  </si>
  <si>
    <t>221 E 12th St Los Angeles, CA 90015</t>
  </si>
  <si>
    <t>221 E 12th</t>
  </si>
  <si>
    <t>$1.70 - $3.45/SF/MO</t>
  </si>
  <si>
    <t>1530 S Alameda St Los Angeles, CA 90021</t>
  </si>
  <si>
    <t>1530</t>
  </si>
  <si>
    <t>$6.20 - $11/SF/MO</t>
  </si>
  <si>
    <t>2031 K St Sacramento, CA 95811</t>
  </si>
  <si>
    <t>2031</t>
  </si>
  <si>
    <t>$2.50 - $36/SF/YR</t>
  </si>
  <si>
    <t>200 E Louise St Clarkesville, GA 30523</t>
  </si>
  <si>
    <t>200</t>
  </si>
  <si>
    <t>E Louise St Clarkesville</t>
  </si>
  <si>
    <t>GA</t>
  </si>
  <si>
    <t>$10/SF/MO</t>
  </si>
  <si>
    <t>3139 Alum Rock Ave, San Jose, CA 95127 San Jose, CA 95127</t>
  </si>
  <si>
    <t>3139 Alum Rock Ave, San Jose, CA 95127</t>
  </si>
  <si>
    <t>San Jose</t>
  </si>
  <si>
    <t>5174 Moreno St Montclair, CA 91763</t>
  </si>
  <si>
    <t>5174</t>
  </si>
  <si>
    <t>Moreno St Montclair</t>
  </si>
  <si>
    <t>54850 29 Palms Hwy Yucca Valley, CA 92284</t>
  </si>
  <si>
    <t>54850 29</t>
  </si>
  <si>
    <t>1568 E Champlain Dr Fresno, CA 93720</t>
  </si>
  <si>
    <t>1568</t>
  </si>
  <si>
    <t>E Champlain Dr Fresno</t>
  </si>
  <si>
    <t>$1.90/SF/MO</t>
  </si>
  <si>
    <t>1253 Foothill Blvd La Verne, CA 91750</t>
  </si>
  <si>
    <t>1253</t>
  </si>
  <si>
    <t>Foothill Blvd La Verne</t>
  </si>
  <si>
    <t>555 Soquel Ave Santa Cruz, CA 95062</t>
  </si>
  <si>
    <t>555</t>
  </si>
  <si>
    <t>Soquel Ave Santa Cruz</t>
  </si>
  <si>
    <t>3318 Santa Fe St Riverbank, CA 95367</t>
  </si>
  <si>
    <t>3318</t>
  </si>
  <si>
    <t>Santa Fe St Riverbank</t>
  </si>
  <si>
    <t>$7.01 - $11.50/SF/MO</t>
  </si>
  <si>
    <t>3630 Park Sierra Dr Riverside, CA 92505</t>
  </si>
  <si>
    <t>3630</t>
  </si>
  <si>
    <t>Park Sierra Dr Riverside</t>
  </si>
  <si>
    <t>200 N San Fernando Blvd Burbank, CA 91502</t>
  </si>
  <si>
    <t>N San Fernando Blvd Burbank</t>
  </si>
  <si>
    <t>$63/SF/YR</t>
  </si>
  <si>
    <t>25 W Polk St Coalinga, CA 93210</t>
  </si>
  <si>
    <t>25</t>
  </si>
  <si>
    <t>W Polk St Coalinga</t>
  </si>
  <si>
    <t>$12/SF/YR</t>
  </si>
  <si>
    <t>2015 Lafayette St Santa Clara, CA 95050</t>
  </si>
  <si>
    <t>2015</t>
  </si>
  <si>
    <t>Lafayette St Santa Clara</t>
  </si>
  <si>
    <t>533 E Main St Ventura, CA 93001</t>
  </si>
  <si>
    <t>533</t>
  </si>
  <si>
    <t>$2.90/SF/MO</t>
  </si>
  <si>
    <t>999 Story Rd San Jose, CA 95122</t>
  </si>
  <si>
    <t>999</t>
  </si>
  <si>
    <t>733 N Mountain Ave Upland, CA 91786</t>
  </si>
  <si>
    <t>733</t>
  </si>
  <si>
    <t>N Mountain Ave Upland</t>
  </si>
  <si>
    <t>2043 Jackson Ave Escalon, CA 95320</t>
  </si>
  <si>
    <t>2043</t>
  </si>
  <si>
    <t>Jackson Ave Escalon</t>
  </si>
  <si>
    <t>21660 &amp; 21700 Copley Dr Diamond Bar, CA 91765</t>
  </si>
  <si>
    <t>21660 &amp; 21700</t>
  </si>
  <si>
    <t>Copley Dr Diamond Bar</t>
  </si>
  <si>
    <t>$35.40/SF/YR</t>
  </si>
  <si>
    <t>1025 Abbot Kinney Blvd Los Angeles, CA 90291</t>
  </si>
  <si>
    <t>1025</t>
  </si>
  <si>
    <t>Abbot Kinney Blvd Los Angeles</t>
  </si>
  <si>
    <t>$9.41/SF/MO</t>
  </si>
  <si>
    <t>998 S Robertson Blvd</t>
  </si>
  <si>
    <t>1010 Lincoln Ave San Jose, CA 95125</t>
  </si>
  <si>
    <t>Lincoln Ave San Jose</t>
  </si>
  <si>
    <t>$48.88/SF/MO</t>
  </si>
  <si>
    <t>11031-11061 Santa Monica Blvd Los Angeles, CA 90025</t>
  </si>
  <si>
    <t>11031-11061</t>
  </si>
  <si>
    <t>Santa Monica Blvd Los Angeles</t>
  </si>
  <si>
    <t>491 Potrero Ave SF, CA 94110</t>
  </si>
  <si>
    <t>491</t>
  </si>
  <si>
    <t>Potrero Ave SF</t>
  </si>
  <si>
    <t>7901 Sunset Blvd Los Angeles, CA 90046</t>
  </si>
  <si>
    <t>7901</t>
  </si>
  <si>
    <t>Sunset Blvd Los Angeles</t>
  </si>
  <si>
    <t>$90/SF/YR</t>
  </si>
  <si>
    <t>842 E Ojai Ave Ojai, CA 93023</t>
  </si>
  <si>
    <t>842</t>
  </si>
  <si>
    <t>E Ojai Ave Ojai</t>
  </si>
  <si>
    <t>$2.63/SF/MO</t>
  </si>
  <si>
    <t>1415 L St Sacramento, CA 95814</t>
  </si>
  <si>
    <t>1415</t>
  </si>
  <si>
    <t>L St Sacramento</t>
  </si>
  <si>
    <t>350 Oak St Bakersfield, CA 93304</t>
  </si>
  <si>
    <t>350</t>
  </si>
  <si>
    <t>Oak St Bakersfield</t>
  </si>
  <si>
    <t>4706 3rd St SF, CA 94124</t>
  </si>
  <si>
    <t>4706 3rd</t>
  </si>
  <si>
    <t>St SF</t>
  </si>
  <si>
    <t>1914 Pacific Coast Hwy Lomita, CA 90717</t>
  </si>
  <si>
    <t>1914</t>
  </si>
  <si>
    <t>Pacific Coast Hwy Lomita</t>
  </si>
  <si>
    <t>4136 Eagle Rock Blvd Los Angeles, CA 90065</t>
  </si>
  <si>
    <t>4136</t>
  </si>
  <si>
    <t>Eagle Rock Blvd Los Angeles</t>
  </si>
  <si>
    <t>5911 Temple City Blvd Temple City, CA 91780</t>
  </si>
  <si>
    <t>5911</t>
  </si>
  <si>
    <t>Temple City Blvd Temple City</t>
  </si>
  <si>
    <t>6780 Depot St Sebastopol, CA 95472</t>
  </si>
  <si>
    <t>6780</t>
  </si>
  <si>
    <t>Depot St Sebastopol</t>
  </si>
  <si>
    <t>225 E Baseline St San Bernardino, CA 92410</t>
  </si>
  <si>
    <t>225</t>
  </si>
  <si>
    <t>E Baseline St San Bernardino</t>
  </si>
  <si>
    <t>$3,000/SF/MO</t>
  </si>
  <si>
    <t>705 W Capitol Expy San Jose, CA 95136</t>
  </si>
  <si>
    <t>705</t>
  </si>
  <si>
    <t>W Capitol Expy San Jose</t>
  </si>
  <si>
    <t>$1.95 - $3.25/SF/YR</t>
  </si>
  <si>
    <t>546 W Compton Blvd Compton, CA 90220</t>
  </si>
  <si>
    <t>546</t>
  </si>
  <si>
    <t>W Compton Blvd Compton</t>
  </si>
  <si>
    <t>$9.57/SF/MO</t>
  </si>
  <si>
    <t>1001 W Tehachapi Blvd Tehachapi, CA 93561</t>
  </si>
  <si>
    <t>W Tehachapi Blvd Tehachapi</t>
  </si>
  <si>
    <t>1931 P St Sacramento, CA 95811</t>
  </si>
  <si>
    <t>1931</t>
  </si>
  <si>
    <t>P St Sacramento</t>
  </si>
  <si>
    <t>$2.75 - $3.24/SF/MO</t>
  </si>
  <si>
    <t>354 1st St Hollister, CA 95023</t>
  </si>
  <si>
    <t>354 1st</t>
  </si>
  <si>
    <t>St Hollister</t>
  </si>
  <si>
    <t>1528 E Champlain Dr Fresno, CA 93720</t>
  </si>
  <si>
    <t>1528</t>
  </si>
  <si>
    <t>308 W 14th St Los Angeles, CA 90015</t>
  </si>
  <si>
    <t>308 W 14th</t>
  </si>
  <si>
    <t>$2.17/SF/YR</t>
  </si>
  <si>
    <t>3188 Alvarado St San Leandro, CA 94577</t>
  </si>
  <si>
    <t>3188</t>
  </si>
  <si>
    <t>Alvarado St San Leandro</t>
  </si>
  <si>
    <t>$1.30/SF/YR</t>
  </si>
  <si>
    <t>521 N Azusa Ave Azusa, CA 91702</t>
  </si>
  <si>
    <t>521</t>
  </si>
  <si>
    <t>N Azusa Ave Azusa</t>
  </si>
  <si>
    <t>$1.77/SF/MO</t>
  </si>
  <si>
    <t>1739 Pacific Coast Hwy Lomita, CA 90717</t>
  </si>
  <si>
    <t>1739</t>
  </si>
  <si>
    <t>706 Lindero Canyon Rd Oak Park, CA 91377</t>
  </si>
  <si>
    <t>706</t>
  </si>
  <si>
    <t>Lindero Canyon Rd Oak Park</t>
  </si>
  <si>
    <t>3208 W Sunset Blvd Los Angeles, CA 90026</t>
  </si>
  <si>
    <t>3208</t>
  </si>
  <si>
    <t>1448 N Blackstone Ave Fresno, CA 93703</t>
  </si>
  <si>
    <t>1448</t>
  </si>
  <si>
    <t>6211 Franklin Ave Los Angeles, CA 90028</t>
  </si>
  <si>
    <t>Franklin Ave Los Angeles</t>
  </si>
  <si>
    <t>14952 Crenshaw Blvd Gardena, CA 90249</t>
  </si>
  <si>
    <t>14952</t>
  </si>
  <si>
    <t>Crenshaw Blvd Gardena</t>
  </si>
  <si>
    <t>1710 Thousand Oaks Blvd Thousand Oaks, CA 91362</t>
  </si>
  <si>
    <t>Thousand Oaks Blvd Thousand Oaks</t>
  </si>
  <si>
    <t>$3.80/SF/MO</t>
  </si>
  <si>
    <t>4111 Magnolia Blvd Burbank, CA 91505</t>
  </si>
  <si>
    <t>4111</t>
  </si>
  <si>
    <t>Magnolia Blvd Burbank</t>
  </si>
  <si>
    <t>Units Restaurant in Plaza -- Open Kitchen / Taking - Out Only</t>
  </si>
  <si>
    <t>800 S Alvarado St Los Angeles, CA 90057</t>
  </si>
  <si>
    <t>800</t>
  </si>
  <si>
    <t>S Alvarado St Los Angeles</t>
  </si>
  <si>
    <t>$3.50 - $3.75/SF/MO</t>
  </si>
  <si>
    <t>703 I St Los Banos, CA 93635</t>
  </si>
  <si>
    <t>703</t>
  </si>
  <si>
    <t>I St Los Banos</t>
  </si>
  <si>
    <t>710 W 9th St Los Angeles, CA 90015</t>
  </si>
  <si>
    <t>710 W 9th</t>
  </si>
  <si>
    <t>47-55 Page St San Francisco, CA 94102</t>
  </si>
  <si>
    <t>47-55</t>
  </si>
  <si>
    <t>Page St San Francisco</t>
  </si>
  <si>
    <t>$48/SF/YR</t>
  </si>
  <si>
    <t>15191 Central Ave Chino, CA 91710</t>
  </si>
  <si>
    <t>15191</t>
  </si>
  <si>
    <t>Central Ave Chino</t>
  </si>
  <si>
    <t>1601 N Main St Walnut Creek, CA 94596</t>
  </si>
  <si>
    <t>1601</t>
  </si>
  <si>
    <t>N Main St Walnut Creek</t>
  </si>
  <si>
    <t>$3.75 - $3.95/SF/MO</t>
  </si>
  <si>
    <t>1-60 Pointe Drive Brea, CA 92821</t>
  </si>
  <si>
    <t>1-60</t>
  </si>
  <si>
    <t>Pointe Drive Brea</t>
  </si>
  <si>
    <t>12195 Tributary Point Dr Rancho Cordova, CA 95670</t>
  </si>
  <si>
    <t>12195</t>
  </si>
  <si>
    <t>Tributary Point Dr Rancho Cordova</t>
  </si>
  <si>
    <t>3711 Arlington Ave Riverside, CA 92506</t>
  </si>
  <si>
    <t>3711</t>
  </si>
  <si>
    <t>Arlington Ave Riverside</t>
  </si>
  <si>
    <t>$1.57 - $2.51/SF/MO</t>
  </si>
  <si>
    <t>19239 &amp; 19241 Ventura Blvd Los Angeles, CA 91356</t>
  </si>
  <si>
    <t>19239 &amp; 19241</t>
  </si>
  <si>
    <t>$2.60/SF/MO</t>
  </si>
  <si>
    <t>1058 W Gardena Blvd Gardena, CA 90247</t>
  </si>
  <si>
    <t>1058</t>
  </si>
  <si>
    <t>W Gardena Blvd Gardena</t>
  </si>
  <si>
    <t>738 State St Santa Barbara, CA 93101</t>
  </si>
  <si>
    <t>738</t>
  </si>
  <si>
    <t>2353 E 12th St Oakland, CA 94601</t>
  </si>
  <si>
    <t>2353 E 12th</t>
  </si>
  <si>
    <t>$8.34/SF/MO</t>
  </si>
  <si>
    <t>Land</t>
  </si>
  <si>
    <t>1120 Forest Ave Chico, CA 95928</t>
  </si>
  <si>
    <t>Forest Ave Chico</t>
  </si>
  <si>
    <t>$0.18/SF/MO</t>
  </si>
  <si>
    <t>3727 E. 1st Street, Los Angeles, CA 90063 Los Angeles, US</t>
  </si>
  <si>
    <t>3727 E. 1st Street, Los Angeles, CA 90063</t>
  </si>
  <si>
    <t>US</t>
  </si>
  <si>
    <t>$2.50 - $3/SF/MO</t>
  </si>
  <si>
    <t>297 Bloomfield Ave, Cal Gilroy, US</t>
  </si>
  <si>
    <t>297 Bloomfield Ave,</t>
  </si>
  <si>
    <t>Cal Gilroy</t>
  </si>
  <si>
    <t>$31.20/SF/MO</t>
  </si>
  <si>
    <t>Drive Thru Restaurant</t>
  </si>
  <si>
    <t>1510 W Rosecrans Ave Gardena, CA 90249</t>
  </si>
  <si>
    <t>1510</t>
  </si>
  <si>
    <t>W Rosecrans Ave Gardena</t>
  </si>
  <si>
    <t>$3.54/SF/MO</t>
  </si>
  <si>
    <t>223 W Anaheim St Los Angeles, CA 90744</t>
  </si>
  <si>
    <t>223</t>
  </si>
  <si>
    <t>W Anaheim St Los Angeles</t>
  </si>
  <si>
    <t>1721 S Flower St Los Angeles, CA 90015</t>
  </si>
  <si>
    <t>1721</t>
  </si>
  <si>
    <t>S Flower St Los Angeles</t>
  </si>
  <si>
    <t>$2 - $2.25/SF/YR</t>
  </si>
  <si>
    <t>348 Merchant St Vacaville, CA 95688</t>
  </si>
  <si>
    <t>348</t>
  </si>
  <si>
    <t>Merchant St Vacaville</t>
  </si>
  <si>
    <t>215 W 9th St Los Angeles, CA 90015</t>
  </si>
  <si>
    <t>215 W 9th</t>
  </si>
  <si>
    <t>2621-2661 Springs Rd Vallejo, CA 94591</t>
  </si>
  <si>
    <t>2621-2661</t>
  </si>
  <si>
    <t>Springs Rd Vallejo</t>
  </si>
  <si>
    <t>$1.75 - $1.95/SF/MO</t>
  </si>
  <si>
    <t>4700 E Midas Ave Rocklin, CA 95677</t>
  </si>
  <si>
    <t>4700</t>
  </si>
  <si>
    <t>E Midas Ave Rocklin</t>
  </si>
  <si>
    <t>2572 21st Street Sacramento, CA 95818</t>
  </si>
  <si>
    <t>2572 21st</t>
  </si>
  <si>
    <t>Street Sacramento</t>
  </si>
  <si>
    <t>1450 ARY LANE, UNIT D, DIXON, CA 95620 Dixon, CA 95620</t>
  </si>
  <si>
    <t>1450 ARY LANE, UNIT D, DIXON, CA 95620</t>
  </si>
  <si>
    <t>Dixon</t>
  </si>
  <si>
    <t>$2.29/SF/MO</t>
  </si>
  <si>
    <t>1353 W 6th St Corona, CA 92882</t>
  </si>
  <si>
    <t>1353 W 6th</t>
  </si>
  <si>
    <t>St Corona</t>
  </si>
  <si>
    <t>6591-6599 Collins Drive Moorpark, CA 93021</t>
  </si>
  <si>
    <t>6591-6599</t>
  </si>
  <si>
    <t>Collins Drive Moorpark</t>
  </si>
  <si>
    <t>$1.50 - $1.95/SF/MO</t>
  </si>
  <si>
    <t>5900 Wedgewood Ave Carmichael, CA 95608</t>
  </si>
  <si>
    <t>5900</t>
  </si>
  <si>
    <t>Wedgewood Ave Carmichael</t>
  </si>
  <si>
    <t>5333 Adeline St Oakland, CA 94608</t>
  </si>
  <si>
    <t>5333</t>
  </si>
  <si>
    <t>Adeline St Oakland</t>
  </si>
  <si>
    <t>$11.74/SF/YR</t>
  </si>
  <si>
    <t>3426 N Dinuba Blvd Visalia, CA 93291</t>
  </si>
  <si>
    <t>3426</t>
  </si>
  <si>
    <t>N Dinuba Blvd Visalia</t>
  </si>
  <si>
    <t>15040 Valley Blvd Fontana, CA 92335</t>
  </si>
  <si>
    <t>15040</t>
  </si>
  <si>
    <t>Valley Blvd Fontana</t>
  </si>
  <si>
    <t>$5.39/SF/MO</t>
  </si>
  <si>
    <t>5158 Hollywood Blvd Los Angeles, CA 90027</t>
  </si>
  <si>
    <t>5158</t>
  </si>
  <si>
    <t>Hollywood Blvd Los Angeles</t>
  </si>
  <si>
    <t>$5/SF/YR</t>
  </si>
  <si>
    <t>495 The Promenade N Long Beach, CA 90802</t>
  </si>
  <si>
    <t>495</t>
  </si>
  <si>
    <t>The Promenade N Long Beach</t>
  </si>
  <si>
    <t>$2.75 - $3.25/SF/MO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</si>
</sst>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7"/>
  <sheetViews>
    <sheetView tabSelected="1" zoomScale="89" zoomScaleNormal="89" workbookViewId="0">
      <selection activeCell="Q6" sqref="Q6"/>
    </sheetView>
  </sheetViews>
  <sheetFormatPr defaultColWidth="9" defaultRowHeight="16.8"/>
  <cols>
    <col min="9" max="9" width="18.1015625" customWidth="1"/>
    <col min="10" max="12" width="12.6875"/>
    <col min="14" max="14" width="12.6875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s="1" t="s">
        <v>10</v>
      </c>
      <c r="L1" s="2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91604</v>
      </c>
      <c r="G2">
        <v>4355</v>
      </c>
      <c r="H2">
        <v>4355</v>
      </c>
      <c r="I2" t="s">
        <v>19</v>
      </c>
      <c r="K2">
        <v>3.36</v>
      </c>
      <c r="L2">
        <f>IF(J2="",K2,J2)</f>
        <v>3.36</v>
      </c>
      <c r="M2">
        <f>(G2+H2)/2</f>
        <v>4355</v>
      </c>
      <c r="N2">
        <f>M2*K2</f>
        <v>14632.8</v>
      </c>
    </row>
    <row r="3" spans="1:14">
      <c r="A3" t="s">
        <v>20</v>
      </c>
      <c r="B3" t="s">
        <v>21</v>
      </c>
      <c r="C3" t="s">
        <v>22</v>
      </c>
      <c r="D3" t="s">
        <v>23</v>
      </c>
      <c r="E3" t="s">
        <v>18</v>
      </c>
      <c r="F3">
        <v>92804</v>
      </c>
      <c r="G3">
        <v>800</v>
      </c>
      <c r="H3">
        <v>1380</v>
      </c>
      <c r="I3" t="s">
        <v>24</v>
      </c>
      <c r="K3">
        <v>2.715</v>
      </c>
      <c r="L3">
        <f t="shared" ref="L3:L34" si="0">IF(J3="",K3,J3)</f>
        <v>2.715</v>
      </c>
      <c r="M3">
        <f t="shared" ref="M3:M66" si="1">(G3+H3)/2</f>
        <v>1090</v>
      </c>
      <c r="N3">
        <f t="shared" ref="N3:N66" si="2">M3*K3</f>
        <v>2959.35</v>
      </c>
    </row>
    <row r="4" spans="1:14">
      <c r="A4" t="s">
        <v>25</v>
      </c>
      <c r="B4" t="s">
        <v>26</v>
      </c>
      <c r="C4" t="s">
        <v>27</v>
      </c>
      <c r="D4" t="s">
        <v>28</v>
      </c>
      <c r="E4" t="s">
        <v>18</v>
      </c>
      <c r="F4">
        <v>93405</v>
      </c>
      <c r="G4">
        <v>3200</v>
      </c>
      <c r="H4">
        <v>3200</v>
      </c>
      <c r="I4" t="s">
        <v>29</v>
      </c>
      <c r="K4">
        <v>0.91</v>
      </c>
      <c r="L4">
        <f t="shared" si="0"/>
        <v>0.91</v>
      </c>
      <c r="M4">
        <f t="shared" si="1"/>
        <v>3200</v>
      </c>
      <c r="N4">
        <f t="shared" si="2"/>
        <v>2912</v>
      </c>
    </row>
    <row r="5" spans="1:14">
      <c r="A5" t="s">
        <v>14</v>
      </c>
      <c r="B5" t="s">
        <v>30</v>
      </c>
      <c r="C5" t="s">
        <v>31</v>
      </c>
      <c r="D5" t="s">
        <v>32</v>
      </c>
      <c r="E5" t="s">
        <v>18</v>
      </c>
      <c r="F5">
        <v>91105</v>
      </c>
      <c r="G5">
        <v>1225</v>
      </c>
      <c r="H5">
        <v>6196</v>
      </c>
      <c r="I5" t="s">
        <v>33</v>
      </c>
      <c r="K5">
        <v>4.5</v>
      </c>
      <c r="L5">
        <f t="shared" si="0"/>
        <v>4.5</v>
      </c>
      <c r="M5">
        <f t="shared" si="1"/>
        <v>3710.5</v>
      </c>
      <c r="N5">
        <f t="shared" si="2"/>
        <v>16697.25</v>
      </c>
    </row>
    <row r="6" spans="1:14">
      <c r="B6" t="s">
        <v>34</v>
      </c>
      <c r="C6" t="s">
        <v>35</v>
      </c>
      <c r="D6" t="s">
        <v>36</v>
      </c>
      <c r="E6" t="s">
        <v>18</v>
      </c>
      <c r="F6">
        <v>93726</v>
      </c>
      <c r="I6" t="s">
        <v>37</v>
      </c>
      <c r="K6">
        <v>1</v>
      </c>
      <c r="L6">
        <f t="shared" si="0"/>
        <v>1</v>
      </c>
      <c r="M6">
        <f t="shared" si="1"/>
        <v>0</v>
      </c>
      <c r="N6">
        <f t="shared" si="2"/>
        <v>0</v>
      </c>
    </row>
    <row r="7" spans="1:14">
      <c r="A7" t="s">
        <v>14</v>
      </c>
      <c r="B7" t="s">
        <v>38</v>
      </c>
      <c r="C7" t="s">
        <v>39</v>
      </c>
      <c r="D7" t="s">
        <v>40</v>
      </c>
      <c r="E7" t="s">
        <v>18</v>
      </c>
      <c r="F7">
        <v>91801</v>
      </c>
      <c r="G7">
        <v>1300</v>
      </c>
      <c r="H7">
        <v>1300</v>
      </c>
      <c r="I7" t="s">
        <v>33</v>
      </c>
      <c r="K7">
        <v>4.5</v>
      </c>
      <c r="L7">
        <f t="shared" si="0"/>
        <v>4.5</v>
      </c>
      <c r="M7">
        <f t="shared" si="1"/>
        <v>1300</v>
      </c>
      <c r="N7">
        <f t="shared" si="2"/>
        <v>5850</v>
      </c>
    </row>
    <row r="8" spans="1:14">
      <c r="A8" t="s">
        <v>14</v>
      </c>
      <c r="B8" t="s">
        <v>41</v>
      </c>
      <c r="C8" t="s">
        <v>42</v>
      </c>
      <c r="D8" t="s">
        <v>43</v>
      </c>
      <c r="E8" t="s">
        <v>18</v>
      </c>
      <c r="F8">
        <v>92284</v>
      </c>
      <c r="G8">
        <v>843</v>
      </c>
      <c r="H8">
        <v>1800</v>
      </c>
      <c r="I8" t="s">
        <v>44</v>
      </c>
      <c r="K8">
        <v>1.625</v>
      </c>
      <c r="L8">
        <f t="shared" si="0"/>
        <v>1.625</v>
      </c>
      <c r="M8">
        <f t="shared" si="1"/>
        <v>1321.5</v>
      </c>
      <c r="N8">
        <f t="shared" si="2"/>
        <v>2147.4375</v>
      </c>
    </row>
    <row r="9" spans="1:14">
      <c r="A9" t="s">
        <v>25</v>
      </c>
      <c r="B9" t="s">
        <v>45</v>
      </c>
      <c r="C9" t="s">
        <v>46</v>
      </c>
      <c r="D9" t="s">
        <v>47</v>
      </c>
      <c r="E9" t="s">
        <v>18</v>
      </c>
      <c r="F9">
        <v>90012</v>
      </c>
      <c r="G9">
        <v>400</v>
      </c>
      <c r="H9">
        <v>10266</v>
      </c>
      <c r="I9" t="s">
        <v>48</v>
      </c>
      <c r="J9">
        <f>K9/12</f>
        <v>1.6</v>
      </c>
      <c r="K9">
        <v>19.2</v>
      </c>
      <c r="L9">
        <f t="shared" si="0"/>
        <v>1.6</v>
      </c>
      <c r="M9">
        <f t="shared" si="1"/>
        <v>5333</v>
      </c>
      <c r="N9">
        <f t="shared" si="2"/>
        <v>102393.6</v>
      </c>
    </row>
    <row r="10" spans="1:14">
      <c r="A10" t="s">
        <v>14</v>
      </c>
      <c r="B10" t="s">
        <v>49</v>
      </c>
      <c r="C10" t="s">
        <v>50</v>
      </c>
      <c r="D10" t="s">
        <v>51</v>
      </c>
      <c r="E10" t="s">
        <v>18</v>
      </c>
      <c r="F10">
        <v>95348</v>
      </c>
      <c r="G10">
        <v>6585</v>
      </c>
      <c r="H10">
        <v>22896</v>
      </c>
      <c r="I10" t="s">
        <v>52</v>
      </c>
      <c r="K10">
        <v>1.625</v>
      </c>
      <c r="L10">
        <f t="shared" si="0"/>
        <v>1.625</v>
      </c>
      <c r="M10">
        <f t="shared" si="1"/>
        <v>14740.5</v>
      </c>
      <c r="N10">
        <f t="shared" si="2"/>
        <v>23953.3125</v>
      </c>
    </row>
    <row r="11" spans="1:14">
      <c r="A11" t="s">
        <v>14</v>
      </c>
      <c r="B11" t="s">
        <v>53</v>
      </c>
      <c r="C11" t="s">
        <v>54</v>
      </c>
      <c r="D11" t="s">
        <v>55</v>
      </c>
      <c r="E11" t="s">
        <v>18</v>
      </c>
      <c r="F11">
        <v>95926</v>
      </c>
      <c r="G11">
        <v>2681</v>
      </c>
      <c r="H11">
        <v>2681</v>
      </c>
      <c r="I11" t="s">
        <v>56</v>
      </c>
      <c r="K11">
        <v>1.5</v>
      </c>
      <c r="L11">
        <f t="shared" si="0"/>
        <v>1.5</v>
      </c>
      <c r="M11">
        <f t="shared" si="1"/>
        <v>2681</v>
      </c>
      <c r="N11">
        <f t="shared" si="2"/>
        <v>4021.5</v>
      </c>
    </row>
    <row r="12" spans="1:14">
      <c r="A12" t="s">
        <v>14</v>
      </c>
      <c r="B12" t="s">
        <v>57</v>
      </c>
      <c r="C12" t="s">
        <v>58</v>
      </c>
      <c r="D12" t="s">
        <v>59</v>
      </c>
      <c r="E12" t="s">
        <v>18</v>
      </c>
      <c r="F12">
        <v>95351</v>
      </c>
      <c r="G12">
        <v>1200</v>
      </c>
      <c r="H12">
        <v>1200</v>
      </c>
      <c r="I12" t="s">
        <v>60</v>
      </c>
      <c r="K12">
        <v>1.75</v>
      </c>
      <c r="L12">
        <f t="shared" si="0"/>
        <v>1.75</v>
      </c>
      <c r="M12">
        <f t="shared" si="1"/>
        <v>1200</v>
      </c>
      <c r="N12">
        <f t="shared" si="2"/>
        <v>2100</v>
      </c>
    </row>
    <row r="13" spans="1:14">
      <c r="A13" t="s">
        <v>61</v>
      </c>
      <c r="B13" t="s">
        <v>62</v>
      </c>
      <c r="C13" t="s">
        <v>63</v>
      </c>
      <c r="D13" t="s">
        <v>64</v>
      </c>
      <c r="E13" t="s">
        <v>18</v>
      </c>
      <c r="F13">
        <v>91706</v>
      </c>
      <c r="I13" t="s">
        <v>65</v>
      </c>
      <c r="K13">
        <v>2</v>
      </c>
      <c r="L13">
        <f t="shared" si="0"/>
        <v>2</v>
      </c>
      <c r="M13">
        <f t="shared" si="1"/>
        <v>0</v>
      </c>
      <c r="N13">
        <f t="shared" si="2"/>
        <v>0</v>
      </c>
    </row>
    <row r="14" spans="1:14">
      <c r="A14" t="s">
        <v>14</v>
      </c>
      <c r="B14" t="s">
        <v>66</v>
      </c>
      <c r="C14" t="s">
        <v>67</v>
      </c>
      <c r="D14" t="s">
        <v>68</v>
      </c>
      <c r="E14" t="s">
        <v>18</v>
      </c>
      <c r="F14">
        <v>90037</v>
      </c>
      <c r="G14">
        <v>100</v>
      </c>
      <c r="H14">
        <v>600</v>
      </c>
      <c r="I14" t="s">
        <v>69</v>
      </c>
      <c r="K14">
        <v>2.45</v>
      </c>
      <c r="L14">
        <f t="shared" si="0"/>
        <v>2.45</v>
      </c>
      <c r="M14">
        <f t="shared" si="1"/>
        <v>350</v>
      </c>
      <c r="N14">
        <f t="shared" si="2"/>
        <v>857.5</v>
      </c>
    </row>
    <row r="15" spans="1:14">
      <c r="A15" t="s">
        <v>14</v>
      </c>
      <c r="B15" t="s">
        <v>70</v>
      </c>
      <c r="C15" t="s">
        <v>71</v>
      </c>
      <c r="D15" t="s">
        <v>72</v>
      </c>
      <c r="E15" t="s">
        <v>18</v>
      </c>
      <c r="F15">
        <v>90048</v>
      </c>
      <c r="G15">
        <v>3600</v>
      </c>
      <c r="H15">
        <v>3600</v>
      </c>
      <c r="I15" t="s">
        <v>73</v>
      </c>
      <c r="K15">
        <v>3.61</v>
      </c>
      <c r="L15">
        <f t="shared" si="0"/>
        <v>3.61</v>
      </c>
      <c r="M15">
        <f t="shared" si="1"/>
        <v>3600</v>
      </c>
      <c r="N15">
        <f t="shared" si="2"/>
        <v>12996</v>
      </c>
    </row>
    <row r="16" spans="1:14">
      <c r="A16" t="s">
        <v>74</v>
      </c>
      <c r="B16" t="s">
        <v>75</v>
      </c>
      <c r="C16" t="s">
        <v>76</v>
      </c>
      <c r="D16" t="s">
        <v>77</v>
      </c>
      <c r="E16" t="s">
        <v>18</v>
      </c>
      <c r="F16">
        <v>90027</v>
      </c>
      <c r="I16" t="s">
        <v>78</v>
      </c>
      <c r="K16">
        <v>4.25</v>
      </c>
      <c r="L16">
        <f t="shared" si="0"/>
        <v>4.25</v>
      </c>
      <c r="M16">
        <f t="shared" si="1"/>
        <v>0</v>
      </c>
      <c r="N16">
        <f t="shared" si="2"/>
        <v>0</v>
      </c>
    </row>
    <row r="17" spans="1:14">
      <c r="B17" t="s">
        <v>79</v>
      </c>
      <c r="C17" t="s">
        <v>80</v>
      </c>
      <c r="D17" t="s">
        <v>81</v>
      </c>
      <c r="E17" t="s">
        <v>18</v>
      </c>
      <c r="F17">
        <v>95662</v>
      </c>
      <c r="I17" t="s">
        <v>82</v>
      </c>
      <c r="K17">
        <v>1.2</v>
      </c>
      <c r="L17">
        <f t="shared" si="0"/>
        <v>1.2</v>
      </c>
      <c r="M17">
        <f t="shared" si="1"/>
        <v>0</v>
      </c>
      <c r="N17">
        <f t="shared" si="2"/>
        <v>0</v>
      </c>
    </row>
    <row r="18" spans="1:14">
      <c r="A18" t="s">
        <v>14</v>
      </c>
      <c r="B18" t="s">
        <v>83</v>
      </c>
      <c r="C18" t="s">
        <v>84</v>
      </c>
      <c r="D18" t="s">
        <v>85</v>
      </c>
      <c r="E18" t="s">
        <v>18</v>
      </c>
      <c r="F18">
        <v>92553</v>
      </c>
      <c r="I18" t="s">
        <v>86</v>
      </c>
      <c r="K18">
        <v>5.13</v>
      </c>
      <c r="L18">
        <f t="shared" si="0"/>
        <v>5.13</v>
      </c>
      <c r="M18">
        <f t="shared" si="1"/>
        <v>0</v>
      </c>
      <c r="N18">
        <f t="shared" si="2"/>
        <v>0</v>
      </c>
    </row>
    <row r="19" spans="1:14">
      <c r="A19" t="s">
        <v>14</v>
      </c>
      <c r="B19" t="s">
        <v>87</v>
      </c>
      <c r="C19" t="s">
        <v>88</v>
      </c>
      <c r="D19" t="s">
        <v>72</v>
      </c>
      <c r="E19" t="s">
        <v>18</v>
      </c>
      <c r="F19">
        <v>90017</v>
      </c>
      <c r="G19">
        <v>1000</v>
      </c>
      <c r="H19">
        <v>3000</v>
      </c>
      <c r="I19" t="s">
        <v>89</v>
      </c>
      <c r="K19">
        <v>2</v>
      </c>
      <c r="L19">
        <f t="shared" si="0"/>
        <v>2</v>
      </c>
      <c r="M19">
        <f t="shared" si="1"/>
        <v>2000</v>
      </c>
      <c r="N19">
        <f t="shared" si="2"/>
        <v>4000</v>
      </c>
    </row>
    <row r="20" spans="1:14">
      <c r="A20" t="s">
        <v>14</v>
      </c>
      <c r="B20" t="s">
        <v>90</v>
      </c>
      <c r="C20" t="s">
        <v>91</v>
      </c>
      <c r="D20" t="s">
        <v>92</v>
      </c>
      <c r="E20" t="s">
        <v>18</v>
      </c>
      <c r="F20">
        <v>91601</v>
      </c>
      <c r="G20">
        <v>2000</v>
      </c>
      <c r="H20">
        <v>2000</v>
      </c>
      <c r="I20" t="s">
        <v>93</v>
      </c>
      <c r="K20">
        <v>3.05</v>
      </c>
      <c r="L20">
        <f t="shared" si="0"/>
        <v>3.05</v>
      </c>
      <c r="M20">
        <f t="shared" si="1"/>
        <v>2000</v>
      </c>
      <c r="N20">
        <f t="shared" si="2"/>
        <v>6100</v>
      </c>
    </row>
    <row r="21" spans="1:14">
      <c r="A21" t="s">
        <v>25</v>
      </c>
      <c r="B21" t="s">
        <v>94</v>
      </c>
      <c r="C21" t="s">
        <v>95</v>
      </c>
      <c r="D21" t="s">
        <v>96</v>
      </c>
      <c r="E21" t="s">
        <v>18</v>
      </c>
      <c r="F21">
        <v>95340</v>
      </c>
      <c r="G21">
        <v>1200</v>
      </c>
      <c r="H21">
        <v>1200</v>
      </c>
      <c r="I21" t="s">
        <v>97</v>
      </c>
      <c r="J21">
        <f>K21/12</f>
        <v>1.66666666666667</v>
      </c>
      <c r="K21">
        <v>20</v>
      </c>
      <c r="L21">
        <f t="shared" si="0"/>
        <v>1.66666666666667</v>
      </c>
      <c r="M21">
        <f t="shared" si="1"/>
        <v>1200</v>
      </c>
      <c r="N21">
        <f t="shared" si="2"/>
        <v>24000</v>
      </c>
    </row>
    <row r="22" spans="1:14">
      <c r="A22" t="s">
        <v>25</v>
      </c>
      <c r="B22" t="s">
        <v>98</v>
      </c>
      <c r="C22" t="s">
        <v>99</v>
      </c>
      <c r="D22" t="s">
        <v>100</v>
      </c>
      <c r="E22" t="s">
        <v>18</v>
      </c>
      <c r="F22">
        <v>90069</v>
      </c>
      <c r="G22">
        <v>3800</v>
      </c>
      <c r="H22">
        <v>3800</v>
      </c>
      <c r="I22" t="s">
        <v>101</v>
      </c>
      <c r="K22">
        <v>6.58</v>
      </c>
      <c r="L22">
        <f t="shared" si="0"/>
        <v>6.58</v>
      </c>
      <c r="M22">
        <f t="shared" si="1"/>
        <v>3800</v>
      </c>
      <c r="N22">
        <f t="shared" si="2"/>
        <v>25004</v>
      </c>
    </row>
    <row r="23" spans="1:14">
      <c r="B23" t="s">
        <v>102</v>
      </c>
      <c r="C23" t="s">
        <v>103</v>
      </c>
      <c r="D23" t="s">
        <v>104</v>
      </c>
      <c r="E23" t="s">
        <v>18</v>
      </c>
      <c r="F23">
        <v>91605</v>
      </c>
      <c r="I23" t="s">
        <v>105</v>
      </c>
      <c r="K23">
        <v>2.375</v>
      </c>
      <c r="L23">
        <f t="shared" si="0"/>
        <v>2.375</v>
      </c>
      <c r="M23">
        <f t="shared" si="1"/>
        <v>0</v>
      </c>
      <c r="N23">
        <f t="shared" si="2"/>
        <v>0</v>
      </c>
    </row>
    <row r="24" spans="1:14">
      <c r="A24" t="s">
        <v>25</v>
      </c>
      <c r="B24" t="s">
        <v>106</v>
      </c>
      <c r="C24" t="s">
        <v>107</v>
      </c>
      <c r="D24" t="s">
        <v>108</v>
      </c>
      <c r="E24" t="s">
        <v>18</v>
      </c>
      <c r="F24">
        <v>95928</v>
      </c>
      <c r="G24">
        <v>6005</v>
      </c>
      <c r="H24">
        <v>6005</v>
      </c>
      <c r="I24" t="s">
        <v>56</v>
      </c>
      <c r="K24">
        <v>1.5</v>
      </c>
      <c r="L24">
        <f t="shared" si="0"/>
        <v>1.5</v>
      </c>
      <c r="M24">
        <f t="shared" si="1"/>
        <v>6005</v>
      </c>
      <c r="N24">
        <f t="shared" si="2"/>
        <v>9007.5</v>
      </c>
    </row>
    <row r="25" spans="1:14">
      <c r="A25" t="s">
        <v>14</v>
      </c>
      <c r="B25" t="s">
        <v>109</v>
      </c>
      <c r="C25" t="s">
        <v>110</v>
      </c>
      <c r="D25" t="s">
        <v>111</v>
      </c>
      <c r="E25" t="s">
        <v>18</v>
      </c>
      <c r="F25">
        <v>93561</v>
      </c>
      <c r="G25">
        <v>1200</v>
      </c>
      <c r="H25">
        <v>4200</v>
      </c>
      <c r="I25" t="s">
        <v>112</v>
      </c>
      <c r="J25">
        <f>K25/12</f>
        <v>2.91666666666667</v>
      </c>
      <c r="K25">
        <v>35</v>
      </c>
      <c r="L25">
        <f t="shared" si="0"/>
        <v>2.91666666666667</v>
      </c>
      <c r="M25">
        <f t="shared" si="1"/>
        <v>2700</v>
      </c>
      <c r="N25">
        <f t="shared" si="2"/>
        <v>94500</v>
      </c>
    </row>
    <row r="26" spans="1:14">
      <c r="B26" t="s">
        <v>113</v>
      </c>
      <c r="C26" t="s">
        <v>114</v>
      </c>
      <c r="D26" t="s">
        <v>115</v>
      </c>
      <c r="E26" t="s">
        <v>18</v>
      </c>
      <c r="F26">
        <v>91320</v>
      </c>
      <c r="I26" t="s">
        <v>116</v>
      </c>
      <c r="K26">
        <v>3.625</v>
      </c>
      <c r="L26">
        <f t="shared" si="0"/>
        <v>3.625</v>
      </c>
      <c r="M26">
        <f t="shared" si="1"/>
        <v>0</v>
      </c>
      <c r="N26">
        <f t="shared" si="2"/>
        <v>0</v>
      </c>
    </row>
    <row r="27" spans="1:14">
      <c r="A27" t="s">
        <v>14</v>
      </c>
      <c r="B27" t="s">
        <v>117</v>
      </c>
      <c r="C27" t="s">
        <v>118</v>
      </c>
      <c r="D27" t="s">
        <v>119</v>
      </c>
      <c r="E27" t="s">
        <v>18</v>
      </c>
      <c r="F27">
        <v>94519</v>
      </c>
      <c r="G27">
        <v>700</v>
      </c>
      <c r="H27">
        <v>3655</v>
      </c>
      <c r="I27" t="s">
        <v>120</v>
      </c>
      <c r="J27">
        <f>K27/12</f>
        <v>1.83333333333333</v>
      </c>
      <c r="K27">
        <v>22</v>
      </c>
      <c r="L27">
        <f t="shared" si="0"/>
        <v>1.83333333333333</v>
      </c>
      <c r="M27">
        <f t="shared" si="1"/>
        <v>2177.5</v>
      </c>
      <c r="N27">
        <f t="shared" si="2"/>
        <v>47905</v>
      </c>
    </row>
    <row r="28" spans="1:14">
      <c r="A28" t="s">
        <v>14</v>
      </c>
      <c r="B28" t="s">
        <v>121</v>
      </c>
      <c r="C28" t="s">
        <v>122</v>
      </c>
      <c r="D28" t="s">
        <v>123</v>
      </c>
      <c r="E28" t="s">
        <v>18</v>
      </c>
      <c r="F28">
        <v>93721</v>
      </c>
      <c r="G28">
        <v>3500</v>
      </c>
      <c r="H28">
        <v>3500</v>
      </c>
      <c r="I28" t="s">
        <v>124</v>
      </c>
      <c r="K28">
        <v>1.6</v>
      </c>
      <c r="L28">
        <f t="shared" si="0"/>
        <v>1.6</v>
      </c>
      <c r="M28">
        <f t="shared" si="1"/>
        <v>3500</v>
      </c>
      <c r="N28">
        <f t="shared" si="2"/>
        <v>5600</v>
      </c>
    </row>
    <row r="29" spans="1:14">
      <c r="A29" t="s">
        <v>14</v>
      </c>
      <c r="B29" t="s">
        <v>15</v>
      </c>
      <c r="C29" t="s">
        <v>16</v>
      </c>
      <c r="D29" t="s">
        <v>17</v>
      </c>
      <c r="E29" t="s">
        <v>18</v>
      </c>
      <c r="F29">
        <v>91604</v>
      </c>
      <c r="G29">
        <v>4355</v>
      </c>
      <c r="H29">
        <v>4355</v>
      </c>
      <c r="I29" t="s">
        <v>19</v>
      </c>
      <c r="K29">
        <v>3.36</v>
      </c>
      <c r="L29">
        <f t="shared" si="0"/>
        <v>3.36</v>
      </c>
      <c r="M29">
        <f t="shared" si="1"/>
        <v>4355</v>
      </c>
      <c r="N29">
        <f t="shared" si="2"/>
        <v>14632.8</v>
      </c>
    </row>
    <row r="30" spans="1:14">
      <c r="A30" t="s">
        <v>20</v>
      </c>
      <c r="B30" t="s">
        <v>21</v>
      </c>
      <c r="C30" t="s">
        <v>22</v>
      </c>
      <c r="D30" t="s">
        <v>23</v>
      </c>
      <c r="E30" t="s">
        <v>18</v>
      </c>
      <c r="F30">
        <v>92804</v>
      </c>
      <c r="G30">
        <v>800</v>
      </c>
      <c r="H30">
        <v>1380</v>
      </c>
      <c r="I30" t="s">
        <v>24</v>
      </c>
      <c r="K30">
        <v>2.715</v>
      </c>
      <c r="L30">
        <f t="shared" si="0"/>
        <v>2.715</v>
      </c>
      <c r="M30">
        <f t="shared" si="1"/>
        <v>1090</v>
      </c>
      <c r="N30">
        <f t="shared" si="2"/>
        <v>2959.35</v>
      </c>
    </row>
    <row r="31" spans="1:14">
      <c r="A31" t="s">
        <v>25</v>
      </c>
      <c r="B31" t="s">
        <v>26</v>
      </c>
      <c r="C31" t="s">
        <v>27</v>
      </c>
      <c r="D31" t="s">
        <v>28</v>
      </c>
      <c r="E31" t="s">
        <v>18</v>
      </c>
      <c r="F31">
        <v>93405</v>
      </c>
      <c r="G31">
        <v>3200</v>
      </c>
      <c r="H31">
        <v>3200</v>
      </c>
      <c r="I31" t="s">
        <v>29</v>
      </c>
      <c r="K31">
        <v>0.91</v>
      </c>
      <c r="L31">
        <f t="shared" si="0"/>
        <v>0.91</v>
      </c>
      <c r="M31">
        <f t="shared" si="1"/>
        <v>3200</v>
      </c>
      <c r="N31">
        <f t="shared" si="2"/>
        <v>2912</v>
      </c>
    </row>
    <row r="32" spans="1:14">
      <c r="A32" t="s">
        <v>14</v>
      </c>
      <c r="B32" t="s">
        <v>30</v>
      </c>
      <c r="C32" t="s">
        <v>31</v>
      </c>
      <c r="D32" t="s">
        <v>32</v>
      </c>
      <c r="E32" t="s">
        <v>18</v>
      </c>
      <c r="F32">
        <v>91105</v>
      </c>
      <c r="G32">
        <v>1225</v>
      </c>
      <c r="H32">
        <v>6196</v>
      </c>
      <c r="I32" t="s">
        <v>33</v>
      </c>
      <c r="K32">
        <v>4.5</v>
      </c>
      <c r="L32">
        <f t="shared" si="0"/>
        <v>4.5</v>
      </c>
      <c r="M32">
        <f t="shared" si="1"/>
        <v>3710.5</v>
      </c>
      <c r="N32">
        <f t="shared" si="2"/>
        <v>16697.25</v>
      </c>
    </row>
    <row r="33" spans="1:14">
      <c r="B33" t="s">
        <v>34</v>
      </c>
      <c r="C33" t="s">
        <v>35</v>
      </c>
      <c r="D33" t="s">
        <v>36</v>
      </c>
      <c r="E33" t="s">
        <v>18</v>
      </c>
      <c r="F33">
        <v>93726</v>
      </c>
      <c r="I33" t="s">
        <v>37</v>
      </c>
      <c r="K33">
        <v>1</v>
      </c>
      <c r="L33">
        <f t="shared" si="0"/>
        <v>1</v>
      </c>
      <c r="M33">
        <f t="shared" si="1"/>
        <v>0</v>
      </c>
      <c r="N33">
        <f t="shared" si="2"/>
        <v>0</v>
      </c>
    </row>
    <row r="34" spans="1:14">
      <c r="A34" t="s">
        <v>14</v>
      </c>
      <c r="B34" t="s">
        <v>38</v>
      </c>
      <c r="C34" t="s">
        <v>39</v>
      </c>
      <c r="D34" t="s">
        <v>40</v>
      </c>
      <c r="E34" t="s">
        <v>18</v>
      </c>
      <c r="F34">
        <v>91801</v>
      </c>
      <c r="G34">
        <v>1300</v>
      </c>
      <c r="H34">
        <v>1300</v>
      </c>
      <c r="I34" t="s">
        <v>33</v>
      </c>
      <c r="K34">
        <v>4.5</v>
      </c>
      <c r="L34">
        <f t="shared" si="0"/>
        <v>4.5</v>
      </c>
      <c r="M34">
        <f t="shared" si="1"/>
        <v>1300</v>
      </c>
      <c r="N34">
        <f t="shared" si="2"/>
        <v>5850</v>
      </c>
    </row>
    <row r="35" spans="1:14">
      <c r="A35" t="s">
        <v>14</v>
      </c>
      <c r="B35" t="s">
        <v>41</v>
      </c>
      <c r="C35" t="s">
        <v>42</v>
      </c>
      <c r="D35" t="s">
        <v>43</v>
      </c>
      <c r="E35" t="s">
        <v>18</v>
      </c>
      <c r="F35">
        <v>92284</v>
      </c>
      <c r="G35">
        <v>843</v>
      </c>
      <c r="H35">
        <v>1800</v>
      </c>
      <c r="I35" t="s">
        <v>44</v>
      </c>
      <c r="K35">
        <v>1.625</v>
      </c>
      <c r="L35">
        <f t="shared" ref="L35:L66" si="3">IF(J35="",K35,J35)</f>
        <v>1.625</v>
      </c>
      <c r="M35">
        <f t="shared" si="1"/>
        <v>1321.5</v>
      </c>
      <c r="N35">
        <f t="shared" si="2"/>
        <v>2147.4375</v>
      </c>
    </row>
    <row r="36" spans="1:14">
      <c r="A36" t="s">
        <v>25</v>
      </c>
      <c r="B36" t="s">
        <v>45</v>
      </c>
      <c r="C36" t="s">
        <v>46</v>
      </c>
      <c r="D36" t="s">
        <v>47</v>
      </c>
      <c r="E36" t="s">
        <v>18</v>
      </c>
      <c r="F36">
        <v>90012</v>
      </c>
      <c r="G36">
        <v>400</v>
      </c>
      <c r="H36">
        <v>10266</v>
      </c>
      <c r="I36" t="s">
        <v>48</v>
      </c>
      <c r="J36">
        <f>K36/12</f>
        <v>1.6</v>
      </c>
      <c r="K36">
        <v>19.2</v>
      </c>
      <c r="L36">
        <f t="shared" si="3"/>
        <v>1.6</v>
      </c>
      <c r="M36">
        <f t="shared" si="1"/>
        <v>5333</v>
      </c>
      <c r="N36">
        <f t="shared" si="2"/>
        <v>102393.6</v>
      </c>
    </row>
    <row r="37" spans="1:14">
      <c r="A37" t="s">
        <v>14</v>
      </c>
      <c r="B37" t="s">
        <v>49</v>
      </c>
      <c r="C37" t="s">
        <v>50</v>
      </c>
      <c r="D37" t="s">
        <v>51</v>
      </c>
      <c r="E37" t="s">
        <v>18</v>
      </c>
      <c r="F37">
        <v>95348</v>
      </c>
      <c r="G37">
        <v>6585</v>
      </c>
      <c r="H37">
        <v>22896</v>
      </c>
      <c r="I37" t="s">
        <v>52</v>
      </c>
      <c r="K37">
        <v>1.625</v>
      </c>
      <c r="L37">
        <f t="shared" si="3"/>
        <v>1.625</v>
      </c>
      <c r="M37">
        <f t="shared" si="1"/>
        <v>14740.5</v>
      </c>
      <c r="N37">
        <f t="shared" si="2"/>
        <v>23953.3125</v>
      </c>
    </row>
    <row r="38" spans="1:14">
      <c r="A38" t="s">
        <v>14</v>
      </c>
      <c r="B38" t="s">
        <v>53</v>
      </c>
      <c r="C38" t="s">
        <v>54</v>
      </c>
      <c r="D38" t="s">
        <v>55</v>
      </c>
      <c r="E38" t="s">
        <v>18</v>
      </c>
      <c r="F38">
        <v>95926</v>
      </c>
      <c r="G38">
        <v>2681</v>
      </c>
      <c r="H38">
        <v>2681</v>
      </c>
      <c r="I38" t="s">
        <v>56</v>
      </c>
      <c r="K38">
        <v>1.5</v>
      </c>
      <c r="L38">
        <f t="shared" si="3"/>
        <v>1.5</v>
      </c>
      <c r="M38">
        <f t="shared" si="1"/>
        <v>2681</v>
      </c>
      <c r="N38">
        <f t="shared" si="2"/>
        <v>4021.5</v>
      </c>
    </row>
    <row r="39" spans="1:14">
      <c r="A39" t="s">
        <v>14</v>
      </c>
      <c r="B39" t="s">
        <v>57</v>
      </c>
      <c r="C39" t="s">
        <v>58</v>
      </c>
      <c r="D39" t="s">
        <v>59</v>
      </c>
      <c r="E39" t="s">
        <v>18</v>
      </c>
      <c r="F39">
        <v>95351</v>
      </c>
      <c r="G39">
        <v>1200</v>
      </c>
      <c r="H39">
        <v>1200</v>
      </c>
      <c r="I39" t="s">
        <v>60</v>
      </c>
      <c r="K39">
        <v>1.75</v>
      </c>
      <c r="L39">
        <f t="shared" si="3"/>
        <v>1.75</v>
      </c>
      <c r="M39">
        <f t="shared" si="1"/>
        <v>1200</v>
      </c>
      <c r="N39">
        <f t="shared" si="2"/>
        <v>2100</v>
      </c>
    </row>
    <row r="40" spans="1:14">
      <c r="A40" t="s">
        <v>61</v>
      </c>
      <c r="B40" t="s">
        <v>62</v>
      </c>
      <c r="C40" t="s">
        <v>63</v>
      </c>
      <c r="D40" t="s">
        <v>64</v>
      </c>
      <c r="E40" t="s">
        <v>18</v>
      </c>
      <c r="F40">
        <v>91706</v>
      </c>
      <c r="I40" t="s">
        <v>65</v>
      </c>
      <c r="K40">
        <v>2</v>
      </c>
      <c r="L40">
        <f t="shared" si="3"/>
        <v>2</v>
      </c>
      <c r="M40">
        <f t="shared" si="1"/>
        <v>0</v>
      </c>
      <c r="N40">
        <f t="shared" si="2"/>
        <v>0</v>
      </c>
    </row>
    <row r="41" spans="1:14">
      <c r="A41" t="s">
        <v>14</v>
      </c>
      <c r="B41" t="s">
        <v>66</v>
      </c>
      <c r="C41" t="s">
        <v>67</v>
      </c>
      <c r="D41" t="s">
        <v>68</v>
      </c>
      <c r="E41" t="s">
        <v>18</v>
      </c>
      <c r="F41">
        <v>90037</v>
      </c>
      <c r="G41">
        <v>100</v>
      </c>
      <c r="H41">
        <v>600</v>
      </c>
      <c r="I41" t="s">
        <v>69</v>
      </c>
      <c r="K41">
        <v>2.45</v>
      </c>
      <c r="L41">
        <f t="shared" si="3"/>
        <v>2.45</v>
      </c>
      <c r="M41">
        <f t="shared" si="1"/>
        <v>350</v>
      </c>
      <c r="N41">
        <f t="shared" si="2"/>
        <v>857.5</v>
      </c>
    </row>
    <row r="42" spans="1:14">
      <c r="A42" t="s">
        <v>14</v>
      </c>
      <c r="B42" t="s">
        <v>70</v>
      </c>
      <c r="C42" t="s">
        <v>71</v>
      </c>
      <c r="D42" t="s">
        <v>72</v>
      </c>
      <c r="E42" t="s">
        <v>18</v>
      </c>
      <c r="F42">
        <v>90048</v>
      </c>
      <c r="G42">
        <v>3600</v>
      </c>
      <c r="H42">
        <v>3600</v>
      </c>
      <c r="I42" t="s">
        <v>73</v>
      </c>
      <c r="K42">
        <v>3.61</v>
      </c>
      <c r="L42">
        <f t="shared" si="3"/>
        <v>3.61</v>
      </c>
      <c r="M42">
        <f t="shared" si="1"/>
        <v>3600</v>
      </c>
      <c r="N42">
        <f t="shared" si="2"/>
        <v>12996</v>
      </c>
    </row>
    <row r="43" spans="1:14">
      <c r="A43" t="s">
        <v>74</v>
      </c>
      <c r="B43" t="s">
        <v>75</v>
      </c>
      <c r="C43" t="s">
        <v>76</v>
      </c>
      <c r="D43" t="s">
        <v>77</v>
      </c>
      <c r="E43" t="s">
        <v>18</v>
      </c>
      <c r="F43">
        <v>90027</v>
      </c>
      <c r="I43" t="s">
        <v>78</v>
      </c>
      <c r="K43">
        <v>4.25</v>
      </c>
      <c r="L43">
        <f t="shared" si="3"/>
        <v>4.25</v>
      </c>
      <c r="M43">
        <f t="shared" si="1"/>
        <v>0</v>
      </c>
      <c r="N43">
        <f t="shared" si="2"/>
        <v>0</v>
      </c>
    </row>
    <row r="44" spans="1:14">
      <c r="B44" t="s">
        <v>79</v>
      </c>
      <c r="C44" t="s">
        <v>80</v>
      </c>
      <c r="D44" t="s">
        <v>81</v>
      </c>
      <c r="E44" t="s">
        <v>18</v>
      </c>
      <c r="F44">
        <v>95662</v>
      </c>
      <c r="I44" t="s">
        <v>82</v>
      </c>
      <c r="K44">
        <v>1.2</v>
      </c>
      <c r="L44">
        <f t="shared" si="3"/>
        <v>1.2</v>
      </c>
      <c r="M44">
        <f t="shared" si="1"/>
        <v>0</v>
      </c>
      <c r="N44">
        <f t="shared" si="2"/>
        <v>0</v>
      </c>
    </row>
    <row r="45" spans="1:14">
      <c r="A45" t="s">
        <v>14</v>
      </c>
      <c r="B45" t="s">
        <v>83</v>
      </c>
      <c r="C45" t="s">
        <v>84</v>
      </c>
      <c r="D45" t="s">
        <v>85</v>
      </c>
      <c r="E45" t="s">
        <v>18</v>
      </c>
      <c r="F45">
        <v>92553</v>
      </c>
      <c r="I45" t="s">
        <v>86</v>
      </c>
      <c r="K45">
        <v>5.13</v>
      </c>
      <c r="L45">
        <f t="shared" si="3"/>
        <v>5.13</v>
      </c>
      <c r="M45">
        <f t="shared" si="1"/>
        <v>0</v>
      </c>
      <c r="N45">
        <f t="shared" si="2"/>
        <v>0</v>
      </c>
    </row>
    <row r="46" spans="1:14">
      <c r="A46" t="s">
        <v>14</v>
      </c>
      <c r="B46" t="s">
        <v>87</v>
      </c>
      <c r="C46" t="s">
        <v>88</v>
      </c>
      <c r="D46" t="s">
        <v>72</v>
      </c>
      <c r="E46" t="s">
        <v>18</v>
      </c>
      <c r="F46">
        <v>90017</v>
      </c>
      <c r="G46">
        <v>1000</v>
      </c>
      <c r="H46">
        <v>3000</v>
      </c>
      <c r="I46" t="s">
        <v>89</v>
      </c>
      <c r="K46">
        <v>2</v>
      </c>
      <c r="L46">
        <f t="shared" si="3"/>
        <v>2</v>
      </c>
      <c r="M46">
        <f t="shared" si="1"/>
        <v>2000</v>
      </c>
      <c r="N46">
        <f t="shared" si="2"/>
        <v>4000</v>
      </c>
    </row>
    <row r="47" spans="1:14">
      <c r="A47" t="s">
        <v>14</v>
      </c>
      <c r="B47" t="s">
        <v>90</v>
      </c>
      <c r="C47" t="s">
        <v>91</v>
      </c>
      <c r="D47" t="s">
        <v>92</v>
      </c>
      <c r="E47" t="s">
        <v>18</v>
      </c>
      <c r="F47">
        <v>91601</v>
      </c>
      <c r="G47">
        <v>2000</v>
      </c>
      <c r="H47">
        <v>2000</v>
      </c>
      <c r="I47" t="s">
        <v>93</v>
      </c>
      <c r="K47">
        <v>3.05</v>
      </c>
      <c r="L47">
        <f t="shared" si="3"/>
        <v>3.05</v>
      </c>
      <c r="M47">
        <f t="shared" si="1"/>
        <v>2000</v>
      </c>
      <c r="N47">
        <f t="shared" si="2"/>
        <v>6100</v>
      </c>
    </row>
    <row r="48" spans="1:14">
      <c r="A48" t="s">
        <v>25</v>
      </c>
      <c r="B48" t="s">
        <v>94</v>
      </c>
      <c r="C48" t="s">
        <v>95</v>
      </c>
      <c r="D48" t="s">
        <v>96</v>
      </c>
      <c r="E48" t="s">
        <v>18</v>
      </c>
      <c r="F48">
        <v>95340</v>
      </c>
      <c r="G48">
        <v>1200</v>
      </c>
      <c r="H48">
        <v>1200</v>
      </c>
      <c r="I48" t="s">
        <v>97</v>
      </c>
      <c r="J48">
        <f>K48/12</f>
        <v>1.66666666666667</v>
      </c>
      <c r="K48">
        <v>20</v>
      </c>
      <c r="L48">
        <f t="shared" si="3"/>
        <v>1.66666666666667</v>
      </c>
      <c r="M48">
        <f t="shared" si="1"/>
        <v>1200</v>
      </c>
      <c r="N48">
        <f t="shared" si="2"/>
        <v>24000</v>
      </c>
    </row>
    <row r="49" spans="1:14">
      <c r="A49" t="s">
        <v>25</v>
      </c>
      <c r="B49" t="s">
        <v>98</v>
      </c>
      <c r="C49" t="s">
        <v>99</v>
      </c>
      <c r="D49" t="s">
        <v>100</v>
      </c>
      <c r="E49" t="s">
        <v>18</v>
      </c>
      <c r="F49">
        <v>90069</v>
      </c>
      <c r="G49">
        <v>3800</v>
      </c>
      <c r="H49">
        <v>3800</v>
      </c>
      <c r="I49" t="s">
        <v>101</v>
      </c>
      <c r="K49">
        <v>6.58</v>
      </c>
      <c r="L49">
        <f t="shared" si="3"/>
        <v>6.58</v>
      </c>
      <c r="M49">
        <f t="shared" si="1"/>
        <v>3800</v>
      </c>
      <c r="N49">
        <f t="shared" si="2"/>
        <v>25004</v>
      </c>
    </row>
    <row r="50" spans="1:14">
      <c r="B50" t="s">
        <v>102</v>
      </c>
      <c r="C50" t="s">
        <v>103</v>
      </c>
      <c r="D50" t="s">
        <v>104</v>
      </c>
      <c r="E50" t="s">
        <v>18</v>
      </c>
      <c r="F50">
        <v>91605</v>
      </c>
      <c r="I50" t="s">
        <v>105</v>
      </c>
      <c r="K50">
        <v>2.375</v>
      </c>
      <c r="L50">
        <f t="shared" si="3"/>
        <v>2.375</v>
      </c>
      <c r="M50">
        <f t="shared" si="1"/>
        <v>0</v>
      </c>
      <c r="N50">
        <f t="shared" si="2"/>
        <v>0</v>
      </c>
    </row>
    <row r="51" spans="1:14">
      <c r="A51" t="s">
        <v>25</v>
      </c>
      <c r="B51" t="s">
        <v>106</v>
      </c>
      <c r="C51" t="s">
        <v>107</v>
      </c>
      <c r="D51" t="s">
        <v>108</v>
      </c>
      <c r="E51" t="s">
        <v>18</v>
      </c>
      <c r="F51">
        <v>95928</v>
      </c>
      <c r="G51">
        <v>6005</v>
      </c>
      <c r="H51">
        <v>6005</v>
      </c>
      <c r="I51" t="s">
        <v>56</v>
      </c>
      <c r="K51">
        <v>1.5</v>
      </c>
      <c r="L51">
        <f t="shared" si="3"/>
        <v>1.5</v>
      </c>
      <c r="M51">
        <f t="shared" si="1"/>
        <v>6005</v>
      </c>
      <c r="N51">
        <f t="shared" si="2"/>
        <v>9007.5</v>
      </c>
    </row>
    <row r="52" spans="1:14">
      <c r="A52" t="s">
        <v>14</v>
      </c>
      <c r="B52" t="s">
        <v>109</v>
      </c>
      <c r="C52" t="s">
        <v>110</v>
      </c>
      <c r="D52" t="s">
        <v>111</v>
      </c>
      <c r="E52" t="s">
        <v>18</v>
      </c>
      <c r="F52">
        <v>93561</v>
      </c>
      <c r="G52">
        <v>1200</v>
      </c>
      <c r="H52">
        <v>4200</v>
      </c>
      <c r="I52" t="s">
        <v>112</v>
      </c>
      <c r="J52">
        <f>K52/12</f>
        <v>2.91666666666667</v>
      </c>
      <c r="K52">
        <v>35</v>
      </c>
      <c r="L52">
        <f t="shared" si="3"/>
        <v>2.91666666666667</v>
      </c>
      <c r="M52">
        <f t="shared" si="1"/>
        <v>2700</v>
      </c>
      <c r="N52">
        <f t="shared" si="2"/>
        <v>94500</v>
      </c>
    </row>
    <row r="53" spans="1:14">
      <c r="B53" t="s">
        <v>113</v>
      </c>
      <c r="C53" t="s">
        <v>114</v>
      </c>
      <c r="D53" t="s">
        <v>115</v>
      </c>
      <c r="E53" t="s">
        <v>18</v>
      </c>
      <c r="F53">
        <v>91320</v>
      </c>
      <c r="I53" t="s">
        <v>116</v>
      </c>
      <c r="K53">
        <v>3.625</v>
      </c>
      <c r="L53">
        <f t="shared" si="3"/>
        <v>3.625</v>
      </c>
      <c r="M53">
        <f t="shared" si="1"/>
        <v>0</v>
      </c>
      <c r="N53">
        <f t="shared" si="2"/>
        <v>0</v>
      </c>
    </row>
    <row r="54" spans="1:14">
      <c r="A54" t="s">
        <v>14</v>
      </c>
      <c r="B54" t="s">
        <v>117</v>
      </c>
      <c r="C54" t="s">
        <v>118</v>
      </c>
      <c r="D54" t="s">
        <v>119</v>
      </c>
      <c r="E54" t="s">
        <v>18</v>
      </c>
      <c r="F54">
        <v>94519</v>
      </c>
      <c r="G54">
        <v>700</v>
      </c>
      <c r="H54">
        <v>3655</v>
      </c>
      <c r="I54" t="s">
        <v>120</v>
      </c>
      <c r="J54">
        <f>K54/12</f>
        <v>1.83333333333333</v>
      </c>
      <c r="K54">
        <v>22</v>
      </c>
      <c r="L54">
        <f t="shared" si="3"/>
        <v>1.83333333333333</v>
      </c>
      <c r="M54">
        <f t="shared" si="1"/>
        <v>2177.5</v>
      </c>
      <c r="N54">
        <f t="shared" si="2"/>
        <v>47905</v>
      </c>
    </row>
    <row r="55" spans="1:14">
      <c r="A55" t="s">
        <v>14</v>
      </c>
      <c r="B55" t="s">
        <v>121</v>
      </c>
      <c r="C55" t="s">
        <v>122</v>
      </c>
      <c r="D55" t="s">
        <v>123</v>
      </c>
      <c r="E55" t="s">
        <v>18</v>
      </c>
      <c r="F55">
        <v>93721</v>
      </c>
      <c r="G55">
        <v>3500</v>
      </c>
      <c r="H55">
        <v>3500</v>
      </c>
      <c r="I55" t="s">
        <v>124</v>
      </c>
      <c r="K55">
        <v>1.6</v>
      </c>
      <c r="L55">
        <f t="shared" si="3"/>
        <v>1.6</v>
      </c>
      <c r="M55">
        <f t="shared" si="1"/>
        <v>3500</v>
      </c>
      <c r="N55">
        <f t="shared" si="2"/>
        <v>5600</v>
      </c>
    </row>
    <row r="56" spans="1:14">
      <c r="A56" t="s">
        <v>14</v>
      </c>
      <c r="B56" t="s">
        <v>125</v>
      </c>
      <c r="C56" t="s">
        <v>126</v>
      </c>
      <c r="D56" t="s">
        <v>127</v>
      </c>
      <c r="E56" t="s">
        <v>18</v>
      </c>
      <c r="F56">
        <v>93405</v>
      </c>
      <c r="G56">
        <v>848</v>
      </c>
      <c r="H56">
        <v>938</v>
      </c>
      <c r="I56" t="s">
        <v>128</v>
      </c>
      <c r="K56">
        <v>3.3</v>
      </c>
      <c r="L56">
        <f t="shared" si="3"/>
        <v>3.3</v>
      </c>
      <c r="M56">
        <f t="shared" si="1"/>
        <v>893</v>
      </c>
      <c r="N56">
        <f t="shared" si="2"/>
        <v>2946.9</v>
      </c>
    </row>
    <row r="57" spans="1:14">
      <c r="B57" t="s">
        <v>129</v>
      </c>
      <c r="C57" t="s">
        <v>130</v>
      </c>
      <c r="D57" t="s">
        <v>131</v>
      </c>
      <c r="E57" t="s">
        <v>18</v>
      </c>
      <c r="F57">
        <v>95825</v>
      </c>
      <c r="I57" t="s">
        <v>132</v>
      </c>
      <c r="J57">
        <f>K57/12</f>
        <v>0.129166666666667</v>
      </c>
      <c r="K57">
        <v>1.55</v>
      </c>
      <c r="L57">
        <f t="shared" si="3"/>
        <v>0.129166666666667</v>
      </c>
      <c r="M57">
        <f t="shared" si="1"/>
        <v>0</v>
      </c>
      <c r="N57">
        <f t="shared" si="2"/>
        <v>0</v>
      </c>
    </row>
    <row r="58" spans="1:14">
      <c r="A58" t="s">
        <v>14</v>
      </c>
      <c r="B58" t="s">
        <v>133</v>
      </c>
      <c r="C58" t="s">
        <v>134</v>
      </c>
      <c r="D58" t="s">
        <v>135</v>
      </c>
      <c r="E58" t="s">
        <v>18</v>
      </c>
      <c r="F58">
        <v>93401</v>
      </c>
      <c r="G58">
        <v>1000</v>
      </c>
      <c r="H58">
        <v>10000</v>
      </c>
      <c r="I58" t="s">
        <v>136</v>
      </c>
      <c r="K58">
        <v>3.375</v>
      </c>
      <c r="L58">
        <f t="shared" si="3"/>
        <v>3.375</v>
      </c>
      <c r="M58">
        <f t="shared" si="1"/>
        <v>5500</v>
      </c>
      <c r="N58">
        <f t="shared" si="2"/>
        <v>18562.5</v>
      </c>
    </row>
    <row r="59" spans="1:14">
      <c r="A59" t="s">
        <v>25</v>
      </c>
      <c r="B59" t="s">
        <v>137</v>
      </c>
      <c r="C59" t="s">
        <v>138</v>
      </c>
      <c r="D59" t="s">
        <v>139</v>
      </c>
      <c r="E59" t="s">
        <v>18</v>
      </c>
      <c r="F59">
        <v>92401</v>
      </c>
      <c r="G59">
        <v>1650</v>
      </c>
      <c r="H59">
        <v>1650</v>
      </c>
      <c r="I59" t="s">
        <v>56</v>
      </c>
      <c r="K59">
        <v>1.5</v>
      </c>
      <c r="L59">
        <f t="shared" si="3"/>
        <v>1.5</v>
      </c>
      <c r="M59">
        <f t="shared" si="1"/>
        <v>1650</v>
      </c>
      <c r="N59">
        <f t="shared" si="2"/>
        <v>2475</v>
      </c>
    </row>
    <row r="60" spans="1:14">
      <c r="A60" t="s">
        <v>14</v>
      </c>
      <c r="B60" t="s">
        <v>140</v>
      </c>
      <c r="C60" t="s">
        <v>141</v>
      </c>
      <c r="D60" t="s">
        <v>139</v>
      </c>
      <c r="E60" t="s">
        <v>18</v>
      </c>
      <c r="F60">
        <v>92408</v>
      </c>
      <c r="G60">
        <v>2416</v>
      </c>
      <c r="H60">
        <v>2416</v>
      </c>
      <c r="I60" t="s">
        <v>142</v>
      </c>
      <c r="J60">
        <f>K60/12</f>
        <v>5.20833333333333</v>
      </c>
      <c r="K60">
        <v>62.5</v>
      </c>
      <c r="L60">
        <f t="shared" si="3"/>
        <v>5.20833333333333</v>
      </c>
      <c r="M60">
        <f t="shared" si="1"/>
        <v>2416</v>
      </c>
      <c r="N60">
        <f t="shared" si="2"/>
        <v>151000</v>
      </c>
    </row>
    <row r="61" spans="1:14">
      <c r="A61" t="s">
        <v>14</v>
      </c>
      <c r="B61" t="s">
        <v>143</v>
      </c>
      <c r="C61" t="s">
        <v>144</v>
      </c>
      <c r="D61" t="s">
        <v>145</v>
      </c>
      <c r="E61" t="s">
        <v>18</v>
      </c>
      <c r="F61">
        <v>95348</v>
      </c>
      <c r="G61">
        <v>50000</v>
      </c>
      <c r="H61">
        <v>65000</v>
      </c>
      <c r="I61" t="s">
        <v>146</v>
      </c>
      <c r="J61">
        <f>K61/12</f>
        <v>0.261666666666667</v>
      </c>
      <c r="K61">
        <v>3.14</v>
      </c>
      <c r="L61">
        <f t="shared" si="3"/>
        <v>0.261666666666667</v>
      </c>
      <c r="M61">
        <f t="shared" si="1"/>
        <v>57500</v>
      </c>
      <c r="N61">
        <f t="shared" si="2"/>
        <v>180550</v>
      </c>
    </row>
    <row r="62" spans="1:14">
      <c r="A62" t="s">
        <v>14</v>
      </c>
      <c r="B62" t="s">
        <v>147</v>
      </c>
      <c r="C62" t="s">
        <v>148</v>
      </c>
      <c r="D62" t="s">
        <v>149</v>
      </c>
      <c r="E62" t="s">
        <v>18</v>
      </c>
      <c r="F62">
        <v>90037</v>
      </c>
      <c r="G62">
        <v>1800</v>
      </c>
      <c r="H62">
        <v>1800</v>
      </c>
      <c r="I62" t="s">
        <v>150</v>
      </c>
      <c r="K62">
        <v>3</v>
      </c>
      <c r="L62">
        <f t="shared" si="3"/>
        <v>3</v>
      </c>
      <c r="M62">
        <f t="shared" si="1"/>
        <v>1800</v>
      </c>
      <c r="N62">
        <f t="shared" si="2"/>
        <v>5400</v>
      </c>
    </row>
    <row r="63" spans="1:14">
      <c r="A63" t="s">
        <v>14</v>
      </c>
      <c r="B63" t="s">
        <v>151</v>
      </c>
      <c r="C63" t="s">
        <v>152</v>
      </c>
      <c r="D63" t="s">
        <v>153</v>
      </c>
      <c r="E63" t="s">
        <v>18</v>
      </c>
      <c r="F63">
        <v>93612</v>
      </c>
      <c r="G63">
        <v>2071</v>
      </c>
      <c r="H63">
        <v>3880</v>
      </c>
      <c r="I63" t="s">
        <v>150</v>
      </c>
      <c r="K63">
        <v>3</v>
      </c>
      <c r="L63">
        <f t="shared" si="3"/>
        <v>3</v>
      </c>
      <c r="M63">
        <f t="shared" si="1"/>
        <v>2975.5</v>
      </c>
      <c r="N63">
        <f t="shared" si="2"/>
        <v>8926.5</v>
      </c>
    </row>
    <row r="64" spans="1:14">
      <c r="A64" t="s">
        <v>25</v>
      </c>
      <c r="B64" t="s">
        <v>154</v>
      </c>
      <c r="C64" t="s">
        <v>155</v>
      </c>
      <c r="D64" t="s">
        <v>156</v>
      </c>
      <c r="E64" t="s">
        <v>18</v>
      </c>
      <c r="F64">
        <v>95340</v>
      </c>
      <c r="G64">
        <v>610</v>
      </c>
      <c r="H64">
        <v>610</v>
      </c>
      <c r="I64" t="s">
        <v>157</v>
      </c>
      <c r="J64">
        <f>K64/12</f>
        <v>2.5</v>
      </c>
      <c r="K64">
        <v>30</v>
      </c>
      <c r="L64">
        <f t="shared" si="3"/>
        <v>2.5</v>
      </c>
      <c r="M64">
        <f t="shared" si="1"/>
        <v>610</v>
      </c>
      <c r="N64">
        <f t="shared" si="2"/>
        <v>18300</v>
      </c>
    </row>
    <row r="65" spans="1:14">
      <c r="B65" t="s">
        <v>158</v>
      </c>
      <c r="C65" t="s">
        <v>159</v>
      </c>
      <c r="D65" t="s">
        <v>160</v>
      </c>
      <c r="E65" t="s">
        <v>18</v>
      </c>
      <c r="F65">
        <v>95928</v>
      </c>
      <c r="I65" t="s">
        <v>161</v>
      </c>
      <c r="K65">
        <v>7.5</v>
      </c>
      <c r="L65">
        <f t="shared" si="3"/>
        <v>7.5</v>
      </c>
      <c r="M65">
        <f t="shared" si="1"/>
        <v>0</v>
      </c>
      <c r="N65">
        <f t="shared" si="2"/>
        <v>0</v>
      </c>
    </row>
    <row r="66" spans="1:14">
      <c r="A66" t="s">
        <v>14</v>
      </c>
      <c r="B66" t="s">
        <v>162</v>
      </c>
      <c r="C66" t="s">
        <v>163</v>
      </c>
      <c r="D66" t="s">
        <v>164</v>
      </c>
      <c r="E66" t="s">
        <v>18</v>
      </c>
      <c r="F66">
        <v>90720</v>
      </c>
      <c r="G66">
        <v>2164</v>
      </c>
      <c r="H66">
        <v>2164</v>
      </c>
      <c r="I66" t="s">
        <v>165</v>
      </c>
      <c r="K66">
        <v>2.75</v>
      </c>
      <c r="L66">
        <f t="shared" si="3"/>
        <v>2.75</v>
      </c>
      <c r="M66">
        <f t="shared" si="1"/>
        <v>2164</v>
      </c>
      <c r="N66">
        <f t="shared" si="2"/>
        <v>5951</v>
      </c>
    </row>
    <row r="67" spans="1:14">
      <c r="A67" t="s">
        <v>25</v>
      </c>
      <c r="B67" t="s">
        <v>166</v>
      </c>
      <c r="C67" t="s">
        <v>167</v>
      </c>
      <c r="D67" t="s">
        <v>168</v>
      </c>
      <c r="E67" t="s">
        <v>18</v>
      </c>
      <c r="F67">
        <v>91731</v>
      </c>
      <c r="G67">
        <v>12703</v>
      </c>
      <c r="H67">
        <v>12703</v>
      </c>
      <c r="I67" t="s">
        <v>169</v>
      </c>
      <c r="K67">
        <v>2.25</v>
      </c>
      <c r="L67">
        <f>IF(J67="",K67,J67)</f>
        <v>2.25</v>
      </c>
      <c r="M67">
        <f t="shared" ref="M67:M130" si="4">(G67+H67)/2</f>
        <v>12703</v>
      </c>
      <c r="N67">
        <f t="shared" ref="N67:N130" si="5">M67*K67</f>
        <v>28581.75</v>
      </c>
    </row>
    <row r="68" spans="1:14">
      <c r="B68" t="s">
        <v>170</v>
      </c>
      <c r="C68" t="s">
        <v>171</v>
      </c>
      <c r="D68" t="s">
        <v>172</v>
      </c>
      <c r="E68" t="s">
        <v>18</v>
      </c>
      <c r="F68">
        <v>90003</v>
      </c>
      <c r="I68" t="s">
        <v>173</v>
      </c>
      <c r="K68">
        <v>2.85</v>
      </c>
      <c r="L68">
        <f>IF(J68="",K68,J68)</f>
        <v>2.85</v>
      </c>
      <c r="M68">
        <f t="shared" si="4"/>
        <v>0</v>
      </c>
      <c r="N68">
        <f t="shared" si="5"/>
        <v>0</v>
      </c>
    </row>
    <row r="69" spans="1:14">
      <c r="A69" t="s">
        <v>14</v>
      </c>
      <c r="B69" t="s">
        <v>174</v>
      </c>
      <c r="C69" t="s">
        <v>175</v>
      </c>
      <c r="D69" t="s">
        <v>17</v>
      </c>
      <c r="E69" t="s">
        <v>18</v>
      </c>
      <c r="F69">
        <v>91356</v>
      </c>
      <c r="G69">
        <v>1550</v>
      </c>
      <c r="H69">
        <v>4800</v>
      </c>
      <c r="I69" t="s">
        <v>176</v>
      </c>
      <c r="J69">
        <f>K69/12</f>
        <v>3.25</v>
      </c>
      <c r="K69">
        <v>39</v>
      </c>
      <c r="L69">
        <f>IF(J69="",K69,J69)</f>
        <v>3.25</v>
      </c>
      <c r="M69">
        <f t="shared" si="4"/>
        <v>3175</v>
      </c>
      <c r="N69">
        <f t="shared" si="5"/>
        <v>123825</v>
      </c>
    </row>
    <row r="70" spans="1:14">
      <c r="B70" t="s">
        <v>177</v>
      </c>
      <c r="C70" t="s">
        <v>178</v>
      </c>
      <c r="D70" t="s">
        <v>179</v>
      </c>
      <c r="E70" t="s">
        <v>18</v>
      </c>
      <c r="F70">
        <v>90710</v>
      </c>
      <c r="I70" t="s">
        <v>180</v>
      </c>
      <c r="J70">
        <f>K70/12</f>
        <v>3.125</v>
      </c>
      <c r="K70">
        <v>37.5</v>
      </c>
      <c r="L70">
        <f t="shared" ref="L70:L133" si="6">IF(J70="",K70,J70)</f>
        <v>3.125</v>
      </c>
      <c r="M70">
        <f t="shared" si="4"/>
        <v>0</v>
      </c>
      <c r="N70">
        <f t="shared" si="5"/>
        <v>0</v>
      </c>
    </row>
    <row r="71" spans="1:14">
      <c r="A71" t="s">
        <v>25</v>
      </c>
      <c r="B71" t="s">
        <v>181</v>
      </c>
      <c r="C71" t="s">
        <v>182</v>
      </c>
      <c r="D71" t="s">
        <v>183</v>
      </c>
      <c r="E71" t="s">
        <v>18</v>
      </c>
      <c r="F71">
        <v>93277</v>
      </c>
      <c r="G71">
        <v>2711</v>
      </c>
      <c r="H71">
        <v>2711</v>
      </c>
      <c r="I71" t="s">
        <v>184</v>
      </c>
      <c r="J71">
        <f>K71/12</f>
        <v>6.25</v>
      </c>
      <c r="K71">
        <v>75</v>
      </c>
      <c r="L71">
        <f t="shared" si="6"/>
        <v>6.25</v>
      </c>
      <c r="M71">
        <f t="shared" si="4"/>
        <v>2711</v>
      </c>
      <c r="N71">
        <f t="shared" si="5"/>
        <v>203325</v>
      </c>
    </row>
    <row r="72" spans="1:14">
      <c r="A72" t="s">
        <v>14</v>
      </c>
      <c r="B72" t="s">
        <v>185</v>
      </c>
      <c r="C72" t="s">
        <v>186</v>
      </c>
      <c r="D72" t="s">
        <v>187</v>
      </c>
      <c r="E72" t="s">
        <v>18</v>
      </c>
      <c r="F72">
        <v>95691</v>
      </c>
      <c r="G72">
        <v>1200</v>
      </c>
      <c r="H72">
        <v>5700</v>
      </c>
      <c r="I72" t="s">
        <v>188</v>
      </c>
      <c r="K72">
        <v>4.375</v>
      </c>
      <c r="L72">
        <f t="shared" si="6"/>
        <v>4.375</v>
      </c>
      <c r="M72">
        <f t="shared" si="4"/>
        <v>3450</v>
      </c>
      <c r="N72">
        <f t="shared" si="5"/>
        <v>15093.75</v>
      </c>
    </row>
    <row r="73" spans="1:14">
      <c r="A73" t="s">
        <v>14</v>
      </c>
      <c r="B73" t="s">
        <v>189</v>
      </c>
      <c r="C73" t="s">
        <v>190</v>
      </c>
      <c r="D73" t="s">
        <v>191</v>
      </c>
      <c r="E73" t="s">
        <v>18</v>
      </c>
      <c r="F73">
        <v>90814</v>
      </c>
      <c r="G73">
        <v>3725</v>
      </c>
      <c r="H73">
        <v>3725</v>
      </c>
      <c r="I73" t="s">
        <v>192</v>
      </c>
      <c r="K73">
        <v>4.95</v>
      </c>
      <c r="L73">
        <f t="shared" si="6"/>
        <v>4.95</v>
      </c>
      <c r="M73">
        <f t="shared" si="4"/>
        <v>3725</v>
      </c>
      <c r="N73">
        <f t="shared" si="5"/>
        <v>18438.75</v>
      </c>
    </row>
    <row r="74" spans="1:14">
      <c r="A74" t="s">
        <v>14</v>
      </c>
      <c r="B74" t="s">
        <v>193</v>
      </c>
      <c r="C74" t="s">
        <v>194</v>
      </c>
      <c r="D74" t="s">
        <v>195</v>
      </c>
      <c r="E74" t="s">
        <v>18</v>
      </c>
      <c r="F74">
        <v>93710</v>
      </c>
      <c r="G74">
        <v>5815</v>
      </c>
      <c r="H74">
        <v>5815</v>
      </c>
      <c r="I74" t="s">
        <v>60</v>
      </c>
      <c r="K74">
        <v>1.75</v>
      </c>
      <c r="L74">
        <f t="shared" si="6"/>
        <v>1.75</v>
      </c>
      <c r="M74">
        <f t="shared" si="4"/>
        <v>5815</v>
      </c>
      <c r="N74">
        <f t="shared" si="5"/>
        <v>10176.25</v>
      </c>
    </row>
    <row r="75" spans="1:14">
      <c r="A75" t="s">
        <v>196</v>
      </c>
      <c r="B75" t="s">
        <v>197</v>
      </c>
      <c r="C75" t="s">
        <v>198</v>
      </c>
      <c r="D75" t="s">
        <v>199</v>
      </c>
      <c r="E75" t="s">
        <v>18</v>
      </c>
      <c r="F75">
        <v>96150</v>
      </c>
      <c r="I75" t="s">
        <v>200</v>
      </c>
      <c r="K75">
        <v>2.5</v>
      </c>
      <c r="L75">
        <f t="shared" si="6"/>
        <v>2.5</v>
      </c>
      <c r="M75">
        <f t="shared" si="4"/>
        <v>0</v>
      </c>
      <c r="N75">
        <f t="shared" si="5"/>
        <v>0</v>
      </c>
    </row>
    <row r="76" spans="1:14">
      <c r="A76" t="s">
        <v>25</v>
      </c>
      <c r="B76" t="s">
        <v>201</v>
      </c>
      <c r="C76" t="s">
        <v>202</v>
      </c>
      <c r="D76" t="s">
        <v>203</v>
      </c>
      <c r="E76" t="s">
        <v>18</v>
      </c>
      <c r="F76">
        <v>90220</v>
      </c>
      <c r="G76">
        <v>1637</v>
      </c>
      <c r="H76">
        <v>1637</v>
      </c>
      <c r="I76" t="s">
        <v>204</v>
      </c>
      <c r="K76">
        <v>1.99</v>
      </c>
      <c r="L76">
        <f t="shared" si="6"/>
        <v>1.99</v>
      </c>
      <c r="M76">
        <f t="shared" si="4"/>
        <v>1637</v>
      </c>
      <c r="N76">
        <f t="shared" si="5"/>
        <v>3257.63</v>
      </c>
    </row>
    <row r="77" spans="1:14">
      <c r="A77" t="s">
        <v>14</v>
      </c>
      <c r="B77" t="s">
        <v>205</v>
      </c>
      <c r="C77" t="s">
        <v>206</v>
      </c>
      <c r="D77" t="s">
        <v>207</v>
      </c>
      <c r="E77" t="s">
        <v>18</v>
      </c>
      <c r="F77">
        <v>95127</v>
      </c>
      <c r="G77">
        <v>3662</v>
      </c>
      <c r="H77">
        <v>7225</v>
      </c>
      <c r="I77" t="s">
        <v>105</v>
      </c>
      <c r="K77">
        <v>2.375</v>
      </c>
      <c r="L77">
        <f t="shared" si="6"/>
        <v>2.375</v>
      </c>
      <c r="M77">
        <f t="shared" si="4"/>
        <v>5443.5</v>
      </c>
      <c r="N77">
        <f t="shared" si="5"/>
        <v>12928.3125</v>
      </c>
    </row>
    <row r="78" spans="1:14">
      <c r="A78" t="s">
        <v>25</v>
      </c>
      <c r="B78" t="s">
        <v>208</v>
      </c>
      <c r="C78" t="s">
        <v>209</v>
      </c>
      <c r="D78" t="s">
        <v>210</v>
      </c>
      <c r="E78" t="s">
        <v>18</v>
      </c>
      <c r="F78">
        <v>93555</v>
      </c>
      <c r="G78">
        <v>8635</v>
      </c>
      <c r="H78">
        <v>8635</v>
      </c>
      <c r="I78" t="s">
        <v>211</v>
      </c>
      <c r="K78">
        <v>0.58</v>
      </c>
      <c r="L78">
        <f t="shared" si="6"/>
        <v>0.58</v>
      </c>
      <c r="M78">
        <f t="shared" si="4"/>
        <v>8635</v>
      </c>
      <c r="N78">
        <f t="shared" si="5"/>
        <v>5008.3</v>
      </c>
    </row>
    <row r="79" spans="1:14">
      <c r="A79" t="s">
        <v>14</v>
      </c>
      <c r="B79" t="s">
        <v>212</v>
      </c>
      <c r="C79" t="s">
        <v>213</v>
      </c>
      <c r="D79" t="s">
        <v>214</v>
      </c>
      <c r="E79" t="s">
        <v>18</v>
      </c>
      <c r="F79">
        <v>90401</v>
      </c>
      <c r="G79">
        <v>17033</v>
      </c>
      <c r="H79">
        <v>17033</v>
      </c>
      <c r="I79" t="s">
        <v>215</v>
      </c>
      <c r="K79">
        <v>4.15</v>
      </c>
      <c r="L79">
        <f t="shared" si="6"/>
        <v>4.15</v>
      </c>
      <c r="M79">
        <f t="shared" si="4"/>
        <v>17033</v>
      </c>
      <c r="N79">
        <f t="shared" si="5"/>
        <v>70686.95</v>
      </c>
    </row>
    <row r="80" spans="1:14">
      <c r="B80" t="s">
        <v>216</v>
      </c>
      <c r="C80" t="s">
        <v>217</v>
      </c>
      <c r="D80" t="s">
        <v>218</v>
      </c>
      <c r="E80" t="s">
        <v>18</v>
      </c>
      <c r="F80">
        <v>93021</v>
      </c>
      <c r="I80" t="s">
        <v>219</v>
      </c>
      <c r="K80">
        <v>4.225</v>
      </c>
      <c r="L80">
        <f t="shared" si="6"/>
        <v>4.225</v>
      </c>
      <c r="M80">
        <f t="shared" si="4"/>
        <v>0</v>
      </c>
      <c r="N80">
        <f t="shared" si="5"/>
        <v>0</v>
      </c>
    </row>
    <row r="81" spans="1:14">
      <c r="A81" t="s">
        <v>25</v>
      </c>
      <c r="B81" t="s">
        <v>220</v>
      </c>
      <c r="C81" t="s">
        <v>221</v>
      </c>
      <c r="D81" t="s">
        <v>222</v>
      </c>
      <c r="E81" t="s">
        <v>18</v>
      </c>
      <c r="F81">
        <v>91103</v>
      </c>
      <c r="G81">
        <v>3188</v>
      </c>
      <c r="H81">
        <v>3188</v>
      </c>
      <c r="I81" t="s">
        <v>223</v>
      </c>
      <c r="K81">
        <v>3.25</v>
      </c>
      <c r="L81">
        <f t="shared" si="6"/>
        <v>3.25</v>
      </c>
      <c r="M81">
        <f t="shared" si="4"/>
        <v>3188</v>
      </c>
      <c r="N81">
        <f t="shared" si="5"/>
        <v>10361</v>
      </c>
    </row>
    <row r="82" spans="1:14">
      <c r="A82" t="s">
        <v>14</v>
      </c>
      <c r="B82" t="s">
        <v>224</v>
      </c>
      <c r="C82" t="s">
        <v>225</v>
      </c>
      <c r="D82" t="s">
        <v>226</v>
      </c>
      <c r="E82" t="s">
        <v>18</v>
      </c>
      <c r="F82">
        <v>90012</v>
      </c>
      <c r="G82">
        <v>5000</v>
      </c>
      <c r="H82">
        <v>5000</v>
      </c>
      <c r="I82" t="s">
        <v>227</v>
      </c>
      <c r="K82">
        <v>1.75</v>
      </c>
      <c r="L82">
        <f t="shared" si="6"/>
        <v>1.75</v>
      </c>
      <c r="M82">
        <f t="shared" si="4"/>
        <v>5000</v>
      </c>
      <c r="N82">
        <f t="shared" si="5"/>
        <v>8750</v>
      </c>
    </row>
    <row r="83" spans="1:14">
      <c r="A83" t="s">
        <v>14</v>
      </c>
      <c r="B83" t="s">
        <v>228</v>
      </c>
      <c r="C83" t="s">
        <v>229</v>
      </c>
      <c r="D83" t="s">
        <v>230</v>
      </c>
      <c r="E83" t="s">
        <v>18</v>
      </c>
      <c r="F83">
        <v>95380</v>
      </c>
      <c r="G83">
        <v>3500</v>
      </c>
      <c r="H83">
        <v>3500</v>
      </c>
      <c r="I83" t="s">
        <v>60</v>
      </c>
      <c r="K83">
        <v>1.75</v>
      </c>
      <c r="L83">
        <f t="shared" si="6"/>
        <v>1.75</v>
      </c>
      <c r="M83">
        <f t="shared" si="4"/>
        <v>3500</v>
      </c>
      <c r="N83">
        <f t="shared" si="5"/>
        <v>6125</v>
      </c>
    </row>
    <row r="84" spans="1:14">
      <c r="A84" t="s">
        <v>14</v>
      </c>
      <c r="B84" t="s">
        <v>231</v>
      </c>
      <c r="C84" t="s">
        <v>232</v>
      </c>
      <c r="D84" t="s">
        <v>233</v>
      </c>
      <c r="E84" t="s">
        <v>18</v>
      </c>
      <c r="F84">
        <v>91710</v>
      </c>
      <c r="G84">
        <v>505</v>
      </c>
      <c r="H84">
        <v>505</v>
      </c>
      <c r="I84" t="s">
        <v>234</v>
      </c>
      <c r="K84">
        <v>2.49</v>
      </c>
      <c r="L84">
        <f t="shared" si="6"/>
        <v>2.49</v>
      </c>
      <c r="M84">
        <f t="shared" si="4"/>
        <v>505</v>
      </c>
      <c r="N84">
        <f t="shared" si="5"/>
        <v>1257.45</v>
      </c>
    </row>
    <row r="85" spans="1:14">
      <c r="A85" t="s">
        <v>14</v>
      </c>
      <c r="B85" t="s">
        <v>235</v>
      </c>
      <c r="C85" t="s">
        <v>236</v>
      </c>
      <c r="D85" t="s">
        <v>237</v>
      </c>
      <c r="E85" t="s">
        <v>18</v>
      </c>
      <c r="F85">
        <v>93401</v>
      </c>
      <c r="G85">
        <v>317</v>
      </c>
      <c r="H85">
        <v>1428</v>
      </c>
      <c r="I85" t="s">
        <v>223</v>
      </c>
      <c r="K85">
        <v>3.25</v>
      </c>
      <c r="L85">
        <f t="shared" si="6"/>
        <v>3.25</v>
      </c>
      <c r="M85">
        <f t="shared" si="4"/>
        <v>872.5</v>
      </c>
      <c r="N85">
        <f t="shared" si="5"/>
        <v>2835.625</v>
      </c>
    </row>
    <row r="86" spans="1:14">
      <c r="A86" t="s">
        <v>238</v>
      </c>
      <c r="B86" t="s">
        <v>239</v>
      </c>
      <c r="C86" t="s">
        <v>240</v>
      </c>
      <c r="D86" t="s">
        <v>241</v>
      </c>
      <c r="E86" t="s">
        <v>18</v>
      </c>
      <c r="F86">
        <v>90017</v>
      </c>
      <c r="G86">
        <v>1803</v>
      </c>
      <c r="H86">
        <v>1803</v>
      </c>
      <c r="I86" t="s">
        <v>65</v>
      </c>
      <c r="K86">
        <v>2</v>
      </c>
      <c r="L86">
        <f t="shared" si="6"/>
        <v>2</v>
      </c>
      <c r="M86">
        <f t="shared" si="4"/>
        <v>1803</v>
      </c>
      <c r="N86">
        <f t="shared" si="5"/>
        <v>3606</v>
      </c>
    </row>
    <row r="87" spans="1:14">
      <c r="B87" t="s">
        <v>242</v>
      </c>
      <c r="C87" t="s">
        <v>243</v>
      </c>
      <c r="D87" t="s">
        <v>244</v>
      </c>
      <c r="E87" t="s">
        <v>18</v>
      </c>
      <c r="F87">
        <v>91752</v>
      </c>
      <c r="I87" t="s">
        <v>245</v>
      </c>
      <c r="J87">
        <f>K87/12</f>
        <v>0.916666666666667</v>
      </c>
      <c r="K87">
        <v>11</v>
      </c>
      <c r="L87">
        <f t="shared" si="6"/>
        <v>0.916666666666667</v>
      </c>
      <c r="M87">
        <f t="shared" si="4"/>
        <v>0</v>
      </c>
      <c r="N87">
        <f t="shared" si="5"/>
        <v>0</v>
      </c>
    </row>
    <row r="88" spans="1:14">
      <c r="A88" t="s">
        <v>14</v>
      </c>
      <c r="B88" t="s">
        <v>246</v>
      </c>
      <c r="C88" t="s">
        <v>247</v>
      </c>
      <c r="D88" t="s">
        <v>248</v>
      </c>
      <c r="E88" t="s">
        <v>18</v>
      </c>
      <c r="F88">
        <v>91803</v>
      </c>
      <c r="G88">
        <v>1581</v>
      </c>
      <c r="H88">
        <v>1581</v>
      </c>
      <c r="I88" t="s">
        <v>169</v>
      </c>
      <c r="K88">
        <v>2.25</v>
      </c>
      <c r="L88">
        <f t="shared" si="6"/>
        <v>2.25</v>
      </c>
      <c r="M88">
        <f t="shared" si="4"/>
        <v>1581</v>
      </c>
      <c r="N88">
        <f t="shared" si="5"/>
        <v>3557.25</v>
      </c>
    </row>
    <row r="89" spans="1:14">
      <c r="A89" t="s">
        <v>25</v>
      </c>
      <c r="B89" t="s">
        <v>249</v>
      </c>
      <c r="C89" t="s">
        <v>250</v>
      </c>
      <c r="D89" t="s">
        <v>251</v>
      </c>
      <c r="E89" t="s">
        <v>18</v>
      </c>
      <c r="F89">
        <v>94133</v>
      </c>
      <c r="G89">
        <v>3875</v>
      </c>
      <c r="H89">
        <v>3875</v>
      </c>
      <c r="I89" t="s">
        <v>252</v>
      </c>
      <c r="J89">
        <f>K89/12</f>
        <v>3.87</v>
      </c>
      <c r="K89">
        <v>46.44</v>
      </c>
      <c r="L89">
        <f t="shared" si="6"/>
        <v>3.87</v>
      </c>
      <c r="M89">
        <f t="shared" si="4"/>
        <v>3875</v>
      </c>
      <c r="N89">
        <f t="shared" si="5"/>
        <v>179955</v>
      </c>
    </row>
    <row r="90" spans="1:14">
      <c r="A90" t="s">
        <v>14</v>
      </c>
      <c r="B90" t="s">
        <v>253</v>
      </c>
      <c r="C90" t="s">
        <v>254</v>
      </c>
      <c r="D90" t="s">
        <v>17</v>
      </c>
      <c r="E90" t="s">
        <v>18</v>
      </c>
      <c r="F90">
        <v>91316</v>
      </c>
      <c r="G90">
        <v>800</v>
      </c>
      <c r="H90">
        <v>1300</v>
      </c>
      <c r="I90" t="s">
        <v>255</v>
      </c>
      <c r="K90">
        <v>4</v>
      </c>
      <c r="L90">
        <f t="shared" si="6"/>
        <v>4</v>
      </c>
      <c r="M90">
        <f t="shared" si="4"/>
        <v>1050</v>
      </c>
      <c r="N90">
        <f t="shared" si="5"/>
        <v>4200</v>
      </c>
    </row>
    <row r="91" spans="1:14">
      <c r="A91" t="s">
        <v>14</v>
      </c>
      <c r="B91" t="s">
        <v>256</v>
      </c>
      <c r="C91" t="s">
        <v>257</v>
      </c>
      <c r="D91" t="s">
        <v>258</v>
      </c>
      <c r="E91" t="s">
        <v>18</v>
      </c>
      <c r="F91">
        <v>93301</v>
      </c>
      <c r="G91">
        <v>2400</v>
      </c>
      <c r="H91">
        <v>6957</v>
      </c>
      <c r="I91" t="s">
        <v>259</v>
      </c>
      <c r="K91">
        <v>2.35</v>
      </c>
      <c r="L91">
        <f t="shared" si="6"/>
        <v>2.35</v>
      </c>
      <c r="M91">
        <f t="shared" si="4"/>
        <v>4678.5</v>
      </c>
      <c r="N91">
        <f t="shared" si="5"/>
        <v>10994.475</v>
      </c>
    </row>
    <row r="92" spans="1:14">
      <c r="B92" t="s">
        <v>260</v>
      </c>
      <c r="C92" t="s">
        <v>261</v>
      </c>
      <c r="D92" t="s">
        <v>262</v>
      </c>
      <c r="E92" t="s">
        <v>18</v>
      </c>
      <c r="F92">
        <v>90280</v>
      </c>
      <c r="I92" t="s">
        <v>263</v>
      </c>
      <c r="K92">
        <v>3.125</v>
      </c>
      <c r="L92">
        <f t="shared" si="6"/>
        <v>3.125</v>
      </c>
      <c r="M92">
        <f t="shared" si="4"/>
        <v>0</v>
      </c>
      <c r="N92">
        <f t="shared" si="5"/>
        <v>0</v>
      </c>
    </row>
    <row r="93" spans="1:14">
      <c r="B93" t="s">
        <v>264</v>
      </c>
      <c r="C93" t="s">
        <v>265</v>
      </c>
      <c r="D93" t="s">
        <v>266</v>
      </c>
      <c r="E93" t="s">
        <v>18</v>
      </c>
      <c r="F93">
        <v>93101</v>
      </c>
      <c r="I93" t="s">
        <v>267</v>
      </c>
      <c r="K93">
        <v>5.5</v>
      </c>
      <c r="L93">
        <f t="shared" si="6"/>
        <v>5.5</v>
      </c>
      <c r="M93">
        <f t="shared" si="4"/>
        <v>0</v>
      </c>
      <c r="N93">
        <f t="shared" si="5"/>
        <v>0</v>
      </c>
    </row>
    <row r="94" spans="1:14">
      <c r="A94" t="s">
        <v>268</v>
      </c>
      <c r="B94" t="s">
        <v>269</v>
      </c>
      <c r="C94" t="s">
        <v>27</v>
      </c>
      <c r="D94" t="s">
        <v>270</v>
      </c>
      <c r="E94" t="s">
        <v>18</v>
      </c>
      <c r="F94">
        <v>93730</v>
      </c>
      <c r="G94">
        <v>1325</v>
      </c>
      <c r="H94">
        <v>8659</v>
      </c>
      <c r="I94" t="s">
        <v>271</v>
      </c>
      <c r="K94">
        <v>3.875</v>
      </c>
      <c r="L94">
        <f t="shared" si="6"/>
        <v>3.875</v>
      </c>
      <c r="M94">
        <f t="shared" si="4"/>
        <v>4992</v>
      </c>
      <c r="N94">
        <f t="shared" si="5"/>
        <v>19344</v>
      </c>
    </row>
    <row r="95" spans="1:14">
      <c r="A95" t="s">
        <v>14</v>
      </c>
      <c r="B95" t="s">
        <v>272</v>
      </c>
      <c r="C95" t="s">
        <v>273</v>
      </c>
      <c r="D95" t="s">
        <v>274</v>
      </c>
      <c r="E95" t="s">
        <v>18</v>
      </c>
      <c r="F95">
        <v>95608</v>
      </c>
      <c r="G95">
        <v>1813</v>
      </c>
      <c r="H95">
        <v>37848</v>
      </c>
      <c r="I95" t="s">
        <v>275</v>
      </c>
      <c r="J95">
        <f>K95/12</f>
        <v>1.37</v>
      </c>
      <c r="K95">
        <v>16.44</v>
      </c>
      <c r="L95">
        <f t="shared" si="6"/>
        <v>1.37</v>
      </c>
      <c r="M95">
        <f t="shared" si="4"/>
        <v>19830.5</v>
      </c>
      <c r="N95">
        <f t="shared" si="5"/>
        <v>326013.42</v>
      </c>
    </row>
    <row r="96" spans="1:14">
      <c r="B96" t="s">
        <v>276</v>
      </c>
      <c r="C96" t="s">
        <v>277</v>
      </c>
      <c r="D96" t="s">
        <v>278</v>
      </c>
      <c r="E96" t="s">
        <v>18</v>
      </c>
      <c r="F96">
        <v>95814</v>
      </c>
      <c r="I96" t="s">
        <v>223</v>
      </c>
      <c r="K96">
        <v>3.25</v>
      </c>
      <c r="L96">
        <f t="shared" si="6"/>
        <v>3.25</v>
      </c>
      <c r="M96">
        <f t="shared" si="4"/>
        <v>0</v>
      </c>
      <c r="N96">
        <f t="shared" si="5"/>
        <v>0</v>
      </c>
    </row>
    <row r="97" spans="1:14">
      <c r="B97" t="s">
        <v>279</v>
      </c>
      <c r="C97" t="s">
        <v>280</v>
      </c>
      <c r="D97" t="s">
        <v>281</v>
      </c>
      <c r="E97" t="s">
        <v>18</v>
      </c>
      <c r="F97">
        <v>91754</v>
      </c>
      <c r="I97" t="s">
        <v>282</v>
      </c>
      <c r="K97">
        <v>6</v>
      </c>
      <c r="L97">
        <f t="shared" si="6"/>
        <v>6</v>
      </c>
      <c r="M97">
        <f t="shared" si="4"/>
        <v>0</v>
      </c>
      <c r="N97">
        <f t="shared" si="5"/>
        <v>0</v>
      </c>
    </row>
    <row r="98" spans="1:14">
      <c r="A98" t="s">
        <v>14</v>
      </c>
      <c r="B98" t="s">
        <v>283</v>
      </c>
      <c r="C98" t="s">
        <v>284</v>
      </c>
      <c r="D98" t="s">
        <v>285</v>
      </c>
      <c r="E98" t="s">
        <v>18</v>
      </c>
      <c r="F98">
        <v>90021</v>
      </c>
      <c r="G98">
        <v>681</v>
      </c>
      <c r="H98">
        <v>20000</v>
      </c>
      <c r="I98" t="s">
        <v>286</v>
      </c>
      <c r="K98">
        <v>4</v>
      </c>
      <c r="L98">
        <f t="shared" si="6"/>
        <v>4</v>
      </c>
      <c r="M98">
        <f t="shared" si="4"/>
        <v>10340.5</v>
      </c>
      <c r="N98">
        <f t="shared" si="5"/>
        <v>41362</v>
      </c>
    </row>
    <row r="99" spans="1:14">
      <c r="A99" t="s">
        <v>14</v>
      </c>
      <c r="B99" t="s">
        <v>287</v>
      </c>
      <c r="C99" t="s">
        <v>288</v>
      </c>
      <c r="D99" t="s">
        <v>289</v>
      </c>
      <c r="E99" t="s">
        <v>18</v>
      </c>
      <c r="F99">
        <v>94541</v>
      </c>
      <c r="G99">
        <v>3150</v>
      </c>
      <c r="H99">
        <v>3150</v>
      </c>
      <c r="I99" t="s">
        <v>290</v>
      </c>
      <c r="K99">
        <v>4</v>
      </c>
      <c r="L99">
        <f t="shared" si="6"/>
        <v>4</v>
      </c>
      <c r="M99">
        <f t="shared" si="4"/>
        <v>3150</v>
      </c>
      <c r="N99">
        <f t="shared" si="5"/>
        <v>12600</v>
      </c>
    </row>
    <row r="100" spans="1:14">
      <c r="A100" t="s">
        <v>14</v>
      </c>
      <c r="B100" t="s">
        <v>291</v>
      </c>
      <c r="C100" t="s">
        <v>292</v>
      </c>
      <c r="D100" t="s">
        <v>293</v>
      </c>
      <c r="E100" t="s">
        <v>18</v>
      </c>
      <c r="F100">
        <v>95122</v>
      </c>
      <c r="G100">
        <v>774</v>
      </c>
      <c r="H100">
        <v>4760</v>
      </c>
      <c r="I100" t="s">
        <v>294</v>
      </c>
      <c r="K100">
        <v>2.75</v>
      </c>
      <c r="L100">
        <f t="shared" si="6"/>
        <v>2.75</v>
      </c>
      <c r="M100">
        <f t="shared" si="4"/>
        <v>2767</v>
      </c>
      <c r="N100">
        <f t="shared" si="5"/>
        <v>7609.25</v>
      </c>
    </row>
    <row r="101" spans="1:14">
      <c r="A101" t="s">
        <v>14</v>
      </c>
      <c r="B101" t="s">
        <v>295</v>
      </c>
      <c r="G101">
        <v>748</v>
      </c>
      <c r="H101">
        <v>13045</v>
      </c>
      <c r="I101" t="s">
        <v>296</v>
      </c>
      <c r="K101">
        <v>4.25</v>
      </c>
      <c r="L101">
        <f t="shared" si="6"/>
        <v>4.25</v>
      </c>
      <c r="M101">
        <f t="shared" si="4"/>
        <v>6896.5</v>
      </c>
      <c r="N101">
        <f t="shared" si="5"/>
        <v>29310.125</v>
      </c>
    </row>
    <row r="102" spans="1:14">
      <c r="A102" t="s">
        <v>25</v>
      </c>
      <c r="B102" t="s">
        <v>297</v>
      </c>
      <c r="C102" t="s">
        <v>298</v>
      </c>
      <c r="D102" t="s">
        <v>299</v>
      </c>
      <c r="E102" t="s">
        <v>18</v>
      </c>
      <c r="F102">
        <v>95020</v>
      </c>
      <c r="G102">
        <v>2150</v>
      </c>
      <c r="H102">
        <v>2150</v>
      </c>
      <c r="I102" t="s">
        <v>259</v>
      </c>
      <c r="K102">
        <v>2.35</v>
      </c>
      <c r="L102">
        <f t="shared" si="6"/>
        <v>2.35</v>
      </c>
      <c r="M102">
        <f t="shared" si="4"/>
        <v>2150</v>
      </c>
      <c r="N102">
        <f t="shared" si="5"/>
        <v>5052.5</v>
      </c>
    </row>
    <row r="103" spans="1:14">
      <c r="B103" t="s">
        <v>300</v>
      </c>
      <c r="C103" t="s">
        <v>301</v>
      </c>
      <c r="D103" t="s">
        <v>302</v>
      </c>
      <c r="E103" t="s">
        <v>18</v>
      </c>
      <c r="F103">
        <v>95648</v>
      </c>
      <c r="I103" t="s">
        <v>65</v>
      </c>
      <c r="K103">
        <v>2</v>
      </c>
      <c r="L103">
        <f t="shared" si="6"/>
        <v>2</v>
      </c>
      <c r="M103">
        <f t="shared" si="4"/>
        <v>0</v>
      </c>
      <c r="N103">
        <f t="shared" si="5"/>
        <v>0</v>
      </c>
    </row>
    <row r="104" spans="1:14">
      <c r="A104" t="s">
        <v>14</v>
      </c>
      <c r="B104" t="s">
        <v>303</v>
      </c>
      <c r="C104" t="s">
        <v>304</v>
      </c>
      <c r="D104" t="s">
        <v>305</v>
      </c>
      <c r="E104" t="s">
        <v>18</v>
      </c>
      <c r="F104">
        <v>93711</v>
      </c>
      <c r="G104">
        <v>3571</v>
      </c>
      <c r="H104">
        <v>3571</v>
      </c>
      <c r="I104" t="s">
        <v>306</v>
      </c>
      <c r="K104">
        <v>1.975</v>
      </c>
      <c r="L104">
        <f t="shared" si="6"/>
        <v>1.975</v>
      </c>
      <c r="M104">
        <f t="shared" si="4"/>
        <v>3571</v>
      </c>
      <c r="N104">
        <f t="shared" si="5"/>
        <v>7052.725</v>
      </c>
    </row>
    <row r="105" spans="1:14">
      <c r="A105" t="s">
        <v>14</v>
      </c>
      <c r="B105" t="s">
        <v>307</v>
      </c>
      <c r="C105" t="s">
        <v>308</v>
      </c>
      <c r="D105" t="s">
        <v>309</v>
      </c>
      <c r="E105" t="s">
        <v>18</v>
      </c>
      <c r="F105">
        <v>95401</v>
      </c>
      <c r="G105">
        <v>1500</v>
      </c>
      <c r="H105">
        <v>1500</v>
      </c>
      <c r="I105" t="s">
        <v>310</v>
      </c>
      <c r="K105">
        <v>1.58</v>
      </c>
      <c r="L105">
        <f t="shared" si="6"/>
        <v>1.58</v>
      </c>
      <c r="M105">
        <f t="shared" si="4"/>
        <v>1500</v>
      </c>
      <c r="N105">
        <f t="shared" si="5"/>
        <v>2370</v>
      </c>
    </row>
    <row r="106" spans="1:14">
      <c r="B106" t="s">
        <v>311</v>
      </c>
      <c r="C106" t="s">
        <v>312</v>
      </c>
      <c r="D106" t="s">
        <v>313</v>
      </c>
      <c r="E106" t="s">
        <v>18</v>
      </c>
      <c r="F106">
        <v>90230</v>
      </c>
      <c r="I106" t="s">
        <v>314</v>
      </c>
      <c r="K106">
        <v>5.28</v>
      </c>
      <c r="L106">
        <f t="shared" si="6"/>
        <v>5.28</v>
      </c>
      <c r="M106">
        <f t="shared" si="4"/>
        <v>0</v>
      </c>
      <c r="N106">
        <f t="shared" si="5"/>
        <v>0</v>
      </c>
    </row>
    <row r="107" spans="1:14">
      <c r="A107" t="s">
        <v>14</v>
      </c>
      <c r="B107" t="s">
        <v>315</v>
      </c>
      <c r="C107" t="s">
        <v>316</v>
      </c>
      <c r="D107" t="s">
        <v>317</v>
      </c>
      <c r="E107" t="s">
        <v>18</v>
      </c>
      <c r="F107">
        <v>95991</v>
      </c>
      <c r="G107">
        <v>6615</v>
      </c>
      <c r="H107">
        <v>6615</v>
      </c>
      <c r="I107" t="s">
        <v>318</v>
      </c>
      <c r="K107">
        <v>1.81</v>
      </c>
      <c r="L107">
        <f t="shared" si="6"/>
        <v>1.81</v>
      </c>
      <c r="M107">
        <f t="shared" si="4"/>
        <v>6615</v>
      </c>
      <c r="N107">
        <f t="shared" si="5"/>
        <v>11973.15</v>
      </c>
    </row>
    <row r="108" spans="1:14">
      <c r="A108" t="s">
        <v>14</v>
      </c>
      <c r="B108" t="s">
        <v>319</v>
      </c>
      <c r="C108" t="s">
        <v>320</v>
      </c>
      <c r="D108" t="s">
        <v>321</v>
      </c>
      <c r="E108" t="s">
        <v>18</v>
      </c>
      <c r="F108">
        <v>92324</v>
      </c>
      <c r="G108">
        <v>5104</v>
      </c>
      <c r="H108">
        <v>5104</v>
      </c>
      <c r="I108" t="s">
        <v>322</v>
      </c>
      <c r="K108">
        <v>1.95</v>
      </c>
      <c r="L108">
        <f t="shared" si="6"/>
        <v>1.95</v>
      </c>
      <c r="M108">
        <f t="shared" si="4"/>
        <v>5104</v>
      </c>
      <c r="N108">
        <f t="shared" si="5"/>
        <v>9952.8</v>
      </c>
    </row>
    <row r="109" spans="1:14">
      <c r="A109" t="s">
        <v>14</v>
      </c>
      <c r="B109" t="s">
        <v>323</v>
      </c>
      <c r="C109" t="s">
        <v>324</v>
      </c>
      <c r="D109" t="s">
        <v>325</v>
      </c>
      <c r="E109" t="s">
        <v>18</v>
      </c>
      <c r="F109">
        <v>95205</v>
      </c>
      <c r="G109">
        <v>6145</v>
      </c>
      <c r="H109">
        <v>6145</v>
      </c>
      <c r="I109" t="s">
        <v>37</v>
      </c>
      <c r="K109">
        <v>1</v>
      </c>
      <c r="L109">
        <f t="shared" si="6"/>
        <v>1</v>
      </c>
      <c r="M109">
        <f t="shared" si="4"/>
        <v>6145</v>
      </c>
      <c r="N109">
        <f t="shared" si="5"/>
        <v>6145</v>
      </c>
    </row>
    <row r="110" spans="1:14">
      <c r="A110" t="s">
        <v>326</v>
      </c>
      <c r="B110" t="s">
        <v>327</v>
      </c>
      <c r="C110" t="s">
        <v>328</v>
      </c>
      <c r="D110" t="s">
        <v>329</v>
      </c>
      <c r="E110" t="s">
        <v>18</v>
      </c>
      <c r="F110">
        <v>95211</v>
      </c>
      <c r="I110" t="s">
        <v>330</v>
      </c>
      <c r="K110">
        <v>2.25</v>
      </c>
      <c r="L110">
        <f t="shared" si="6"/>
        <v>2.25</v>
      </c>
      <c r="M110">
        <f t="shared" si="4"/>
        <v>0</v>
      </c>
      <c r="N110">
        <f t="shared" si="5"/>
        <v>0</v>
      </c>
    </row>
    <row r="111" spans="1:14">
      <c r="A111" t="s">
        <v>25</v>
      </c>
      <c r="B111" t="s">
        <v>331</v>
      </c>
      <c r="C111" t="s">
        <v>332</v>
      </c>
      <c r="D111" t="s">
        <v>333</v>
      </c>
      <c r="E111" t="s">
        <v>18</v>
      </c>
      <c r="F111">
        <v>90232</v>
      </c>
      <c r="G111">
        <v>7264</v>
      </c>
      <c r="H111">
        <v>7264</v>
      </c>
      <c r="I111" t="s">
        <v>334</v>
      </c>
      <c r="K111">
        <v>5.25</v>
      </c>
      <c r="L111">
        <f t="shared" si="6"/>
        <v>5.25</v>
      </c>
      <c r="M111">
        <f t="shared" si="4"/>
        <v>7264</v>
      </c>
      <c r="N111">
        <f t="shared" si="5"/>
        <v>38136</v>
      </c>
    </row>
    <row r="112" spans="1:14">
      <c r="A112" t="s">
        <v>14</v>
      </c>
      <c r="B112" t="s">
        <v>335</v>
      </c>
      <c r="C112" t="s">
        <v>336</v>
      </c>
      <c r="D112" t="s">
        <v>337</v>
      </c>
      <c r="E112" t="s">
        <v>18</v>
      </c>
      <c r="F112">
        <v>95377</v>
      </c>
      <c r="G112">
        <v>1600</v>
      </c>
      <c r="H112">
        <v>1600</v>
      </c>
      <c r="I112" t="s">
        <v>338</v>
      </c>
      <c r="K112">
        <v>4</v>
      </c>
      <c r="L112">
        <f t="shared" si="6"/>
        <v>4</v>
      </c>
      <c r="M112">
        <f t="shared" si="4"/>
        <v>1600</v>
      </c>
      <c r="N112">
        <f t="shared" si="5"/>
        <v>6400</v>
      </c>
    </row>
    <row r="113" spans="1:14">
      <c r="A113" t="s">
        <v>14</v>
      </c>
      <c r="B113" t="s">
        <v>339</v>
      </c>
      <c r="C113" t="s">
        <v>340</v>
      </c>
      <c r="D113" t="s">
        <v>341</v>
      </c>
      <c r="E113" t="s">
        <v>18</v>
      </c>
      <c r="F113">
        <v>92395</v>
      </c>
      <c r="G113">
        <v>950</v>
      </c>
      <c r="H113">
        <v>3790</v>
      </c>
      <c r="I113" t="s">
        <v>342</v>
      </c>
      <c r="K113">
        <v>1.425</v>
      </c>
      <c r="L113">
        <f t="shared" si="6"/>
        <v>1.425</v>
      </c>
      <c r="M113">
        <f t="shared" si="4"/>
        <v>2370</v>
      </c>
      <c r="N113">
        <f t="shared" si="5"/>
        <v>3377.25</v>
      </c>
    </row>
    <row r="114" spans="1:14">
      <c r="A114" t="s">
        <v>14</v>
      </c>
      <c r="B114" t="s">
        <v>343</v>
      </c>
      <c r="C114" t="s">
        <v>344</v>
      </c>
      <c r="D114" t="s">
        <v>156</v>
      </c>
      <c r="E114" t="s">
        <v>18</v>
      </c>
      <c r="F114">
        <v>95340</v>
      </c>
      <c r="G114">
        <v>5000</v>
      </c>
      <c r="H114">
        <v>5000</v>
      </c>
      <c r="I114" t="s">
        <v>169</v>
      </c>
      <c r="K114">
        <v>2.25</v>
      </c>
      <c r="L114">
        <f t="shared" si="6"/>
        <v>2.25</v>
      </c>
      <c r="M114">
        <f t="shared" si="4"/>
        <v>5000</v>
      </c>
      <c r="N114">
        <f t="shared" si="5"/>
        <v>11250</v>
      </c>
    </row>
    <row r="115" spans="1:14">
      <c r="A115" t="s">
        <v>14</v>
      </c>
      <c r="B115" t="s">
        <v>345</v>
      </c>
      <c r="C115" t="s">
        <v>346</v>
      </c>
      <c r="D115" t="s">
        <v>347</v>
      </c>
      <c r="E115" t="s">
        <v>18</v>
      </c>
      <c r="F115">
        <v>95131</v>
      </c>
      <c r="G115">
        <v>1152</v>
      </c>
      <c r="H115">
        <v>1152</v>
      </c>
      <c r="I115" t="s">
        <v>200</v>
      </c>
      <c r="K115">
        <v>2.5</v>
      </c>
      <c r="L115">
        <f t="shared" si="6"/>
        <v>2.5</v>
      </c>
      <c r="M115">
        <f t="shared" si="4"/>
        <v>1152</v>
      </c>
      <c r="N115">
        <f t="shared" si="5"/>
        <v>2880</v>
      </c>
    </row>
    <row r="116" spans="1:14">
      <c r="A116" t="s">
        <v>14</v>
      </c>
      <c r="B116" t="s">
        <v>348</v>
      </c>
      <c r="C116" t="s">
        <v>349</v>
      </c>
      <c r="D116" t="s">
        <v>350</v>
      </c>
      <c r="E116" t="s">
        <v>18</v>
      </c>
      <c r="F116">
        <v>95603</v>
      </c>
      <c r="G116">
        <v>829</v>
      </c>
      <c r="H116">
        <v>7278</v>
      </c>
      <c r="I116" t="s">
        <v>351</v>
      </c>
      <c r="J116">
        <f>K116/12</f>
        <v>1.27</v>
      </c>
      <c r="K116">
        <v>15.24</v>
      </c>
      <c r="L116">
        <f t="shared" si="6"/>
        <v>1.27</v>
      </c>
      <c r="M116">
        <f t="shared" si="4"/>
        <v>4053.5</v>
      </c>
      <c r="N116">
        <f t="shared" si="5"/>
        <v>61775.34</v>
      </c>
    </row>
    <row r="117" spans="1:14">
      <c r="A117" t="s">
        <v>14</v>
      </c>
      <c r="B117" t="s">
        <v>352</v>
      </c>
      <c r="C117" t="s">
        <v>353</v>
      </c>
      <c r="D117" t="s">
        <v>354</v>
      </c>
      <c r="E117" t="s">
        <v>18</v>
      </c>
      <c r="F117">
        <v>91730</v>
      </c>
      <c r="G117">
        <v>873</v>
      </c>
      <c r="H117">
        <v>2193</v>
      </c>
      <c r="I117" t="s">
        <v>355</v>
      </c>
      <c r="K117">
        <v>1.825</v>
      </c>
      <c r="L117">
        <f t="shared" si="6"/>
        <v>1.825</v>
      </c>
      <c r="M117">
        <f t="shared" si="4"/>
        <v>1533</v>
      </c>
      <c r="N117">
        <f t="shared" si="5"/>
        <v>2797.725</v>
      </c>
    </row>
    <row r="118" spans="1:14">
      <c r="A118" t="s">
        <v>25</v>
      </c>
      <c r="B118" t="s">
        <v>356</v>
      </c>
      <c r="C118" t="s">
        <v>357</v>
      </c>
      <c r="D118" t="s">
        <v>358</v>
      </c>
      <c r="E118" t="s">
        <v>18</v>
      </c>
      <c r="F118">
        <v>93546</v>
      </c>
      <c r="G118">
        <v>2027</v>
      </c>
      <c r="H118">
        <v>2027</v>
      </c>
      <c r="I118" t="s">
        <v>359</v>
      </c>
      <c r="J118">
        <f>K118/12</f>
        <v>2.36666666666667</v>
      </c>
      <c r="K118">
        <v>28.4</v>
      </c>
      <c r="L118">
        <f t="shared" si="6"/>
        <v>2.36666666666667</v>
      </c>
      <c r="M118">
        <f t="shared" si="4"/>
        <v>2027</v>
      </c>
      <c r="N118">
        <f t="shared" si="5"/>
        <v>57566.8</v>
      </c>
    </row>
    <row r="119" spans="1:14">
      <c r="A119" t="s">
        <v>25</v>
      </c>
      <c r="B119" t="s">
        <v>360</v>
      </c>
      <c r="C119" t="s">
        <v>361</v>
      </c>
      <c r="D119" t="s">
        <v>191</v>
      </c>
      <c r="E119" t="s">
        <v>18</v>
      </c>
      <c r="F119">
        <v>90814</v>
      </c>
      <c r="G119">
        <v>2282</v>
      </c>
      <c r="H119">
        <v>2282</v>
      </c>
      <c r="I119" t="s">
        <v>362</v>
      </c>
      <c r="K119">
        <v>3.15</v>
      </c>
      <c r="L119">
        <f t="shared" si="6"/>
        <v>3.15</v>
      </c>
      <c r="M119">
        <f t="shared" si="4"/>
        <v>2282</v>
      </c>
      <c r="N119">
        <f t="shared" si="5"/>
        <v>7188.3</v>
      </c>
    </row>
    <row r="120" spans="1:14">
      <c r="A120" t="s">
        <v>14</v>
      </c>
      <c r="B120" t="s">
        <v>363</v>
      </c>
      <c r="C120" t="s">
        <v>364</v>
      </c>
      <c r="D120" t="s">
        <v>365</v>
      </c>
      <c r="E120" t="s">
        <v>18</v>
      </c>
      <c r="F120">
        <v>92832</v>
      </c>
      <c r="G120">
        <v>2239</v>
      </c>
      <c r="H120">
        <v>5000</v>
      </c>
      <c r="I120" t="s">
        <v>215</v>
      </c>
      <c r="K120">
        <v>4.15</v>
      </c>
      <c r="L120">
        <f t="shared" si="6"/>
        <v>4.15</v>
      </c>
      <c r="M120">
        <f t="shared" si="4"/>
        <v>3619.5</v>
      </c>
      <c r="N120">
        <f t="shared" si="5"/>
        <v>15020.925</v>
      </c>
    </row>
    <row r="121" spans="1:14">
      <c r="A121" t="s">
        <v>14</v>
      </c>
      <c r="B121" t="s">
        <v>83</v>
      </c>
      <c r="C121" t="s">
        <v>84</v>
      </c>
      <c r="D121" t="s">
        <v>85</v>
      </c>
      <c r="E121" t="s">
        <v>18</v>
      </c>
      <c r="F121">
        <v>92553</v>
      </c>
      <c r="G121">
        <v>438</v>
      </c>
      <c r="H121">
        <v>438</v>
      </c>
      <c r="I121" t="s">
        <v>366</v>
      </c>
      <c r="K121">
        <v>3.77</v>
      </c>
      <c r="L121">
        <f t="shared" si="6"/>
        <v>3.77</v>
      </c>
      <c r="M121">
        <f t="shared" si="4"/>
        <v>438</v>
      </c>
      <c r="N121">
        <f t="shared" si="5"/>
        <v>1651.26</v>
      </c>
    </row>
    <row r="122" spans="1:14">
      <c r="B122" t="s">
        <v>367</v>
      </c>
      <c r="C122" t="s">
        <v>368</v>
      </c>
      <c r="D122" t="s">
        <v>369</v>
      </c>
      <c r="E122" t="s">
        <v>18</v>
      </c>
      <c r="F122">
        <v>90505</v>
      </c>
      <c r="I122" t="s">
        <v>370</v>
      </c>
      <c r="K122">
        <v>4.75</v>
      </c>
      <c r="L122">
        <f t="shared" si="6"/>
        <v>4.75</v>
      </c>
      <c r="M122">
        <f t="shared" si="4"/>
        <v>0</v>
      </c>
      <c r="N122">
        <f t="shared" si="5"/>
        <v>0</v>
      </c>
    </row>
    <row r="123" spans="1:14">
      <c r="B123" t="s">
        <v>371</v>
      </c>
      <c r="C123" t="s">
        <v>372</v>
      </c>
      <c r="D123" t="s">
        <v>373</v>
      </c>
      <c r="E123" t="s">
        <v>18</v>
      </c>
      <c r="F123">
        <v>91006</v>
      </c>
      <c r="I123" t="s">
        <v>374</v>
      </c>
      <c r="K123">
        <v>6.46</v>
      </c>
      <c r="L123">
        <f t="shared" si="6"/>
        <v>6.46</v>
      </c>
      <c r="M123">
        <f t="shared" si="4"/>
        <v>0</v>
      </c>
      <c r="N123">
        <f t="shared" si="5"/>
        <v>0</v>
      </c>
    </row>
    <row r="124" spans="1:14">
      <c r="B124" t="s">
        <v>375</v>
      </c>
      <c r="C124" t="s">
        <v>376</v>
      </c>
      <c r="D124" t="s">
        <v>377</v>
      </c>
      <c r="E124" t="s">
        <v>18</v>
      </c>
      <c r="F124">
        <v>93305</v>
      </c>
      <c r="G124">
        <v>600</v>
      </c>
      <c r="H124">
        <v>600</v>
      </c>
      <c r="I124" t="s">
        <v>378</v>
      </c>
      <c r="K124">
        <v>1.87</v>
      </c>
      <c r="L124">
        <f t="shared" si="6"/>
        <v>1.87</v>
      </c>
      <c r="M124">
        <f t="shared" si="4"/>
        <v>600</v>
      </c>
      <c r="N124">
        <f t="shared" si="5"/>
        <v>1122</v>
      </c>
    </row>
    <row r="125" spans="1:14">
      <c r="A125" t="s">
        <v>14</v>
      </c>
      <c r="B125" t="s">
        <v>379</v>
      </c>
      <c r="C125" t="s">
        <v>380</v>
      </c>
      <c r="D125" t="s">
        <v>381</v>
      </c>
      <c r="E125" t="s">
        <v>18</v>
      </c>
      <c r="F125">
        <v>93701</v>
      </c>
      <c r="G125">
        <v>1950</v>
      </c>
      <c r="H125">
        <v>1950</v>
      </c>
      <c r="I125" t="s">
        <v>382</v>
      </c>
      <c r="K125">
        <v>1.8</v>
      </c>
      <c r="L125">
        <f t="shared" si="6"/>
        <v>1.8</v>
      </c>
      <c r="M125">
        <f t="shared" si="4"/>
        <v>1950</v>
      </c>
      <c r="N125">
        <f t="shared" si="5"/>
        <v>3510</v>
      </c>
    </row>
    <row r="126" spans="1:14">
      <c r="B126" t="s">
        <v>383</v>
      </c>
      <c r="C126" t="s">
        <v>384</v>
      </c>
      <c r="D126" t="s">
        <v>385</v>
      </c>
      <c r="E126" t="s">
        <v>18</v>
      </c>
      <c r="F126">
        <v>90038</v>
      </c>
      <c r="I126" t="s">
        <v>386</v>
      </c>
      <c r="J126">
        <f>K126/12</f>
        <v>4.25</v>
      </c>
      <c r="K126">
        <v>51</v>
      </c>
      <c r="L126">
        <f t="shared" si="6"/>
        <v>4.25</v>
      </c>
      <c r="M126">
        <f t="shared" si="4"/>
        <v>0</v>
      </c>
      <c r="N126">
        <f t="shared" si="5"/>
        <v>0</v>
      </c>
    </row>
    <row r="127" spans="1:14">
      <c r="A127" t="s">
        <v>25</v>
      </c>
      <c r="B127" t="s">
        <v>387</v>
      </c>
      <c r="C127" t="s">
        <v>388</v>
      </c>
      <c r="D127" t="s">
        <v>389</v>
      </c>
      <c r="E127" t="s">
        <v>18</v>
      </c>
      <c r="F127">
        <v>93105</v>
      </c>
      <c r="G127">
        <v>1530</v>
      </c>
      <c r="H127">
        <v>1530</v>
      </c>
      <c r="I127" t="s">
        <v>390</v>
      </c>
      <c r="K127">
        <v>3.1</v>
      </c>
      <c r="L127">
        <f t="shared" si="6"/>
        <v>3.1</v>
      </c>
      <c r="M127">
        <f t="shared" si="4"/>
        <v>1530</v>
      </c>
      <c r="N127">
        <f t="shared" si="5"/>
        <v>4743</v>
      </c>
    </row>
    <row r="128" spans="1:14">
      <c r="A128" t="s">
        <v>14</v>
      </c>
      <c r="B128" t="s">
        <v>391</v>
      </c>
      <c r="C128" t="s">
        <v>392</v>
      </c>
      <c r="D128" t="s">
        <v>393</v>
      </c>
      <c r="E128" t="s">
        <v>18</v>
      </c>
      <c r="F128">
        <v>93703</v>
      </c>
      <c r="G128">
        <v>1200</v>
      </c>
      <c r="H128">
        <v>7800</v>
      </c>
      <c r="I128" t="s">
        <v>65</v>
      </c>
      <c r="K128">
        <v>2</v>
      </c>
      <c r="L128">
        <f t="shared" si="6"/>
        <v>2</v>
      </c>
      <c r="M128">
        <f t="shared" si="4"/>
        <v>4500</v>
      </c>
      <c r="N128">
        <f t="shared" si="5"/>
        <v>9000</v>
      </c>
    </row>
    <row r="129" spans="1:14">
      <c r="A129" t="s">
        <v>14</v>
      </c>
      <c r="B129" t="s">
        <v>394</v>
      </c>
      <c r="C129" t="s">
        <v>395</v>
      </c>
      <c r="D129" t="s">
        <v>396</v>
      </c>
      <c r="E129" t="s">
        <v>18</v>
      </c>
      <c r="F129">
        <v>94597</v>
      </c>
      <c r="G129">
        <v>1674</v>
      </c>
      <c r="H129">
        <v>23000</v>
      </c>
      <c r="I129" t="s">
        <v>128</v>
      </c>
      <c r="K129">
        <v>3.3</v>
      </c>
      <c r="L129">
        <f t="shared" si="6"/>
        <v>3.3</v>
      </c>
      <c r="M129">
        <f t="shared" si="4"/>
        <v>12337</v>
      </c>
      <c r="N129">
        <f t="shared" si="5"/>
        <v>40712.1</v>
      </c>
    </row>
    <row r="130" spans="1:14">
      <c r="A130" t="s">
        <v>14</v>
      </c>
      <c r="B130" t="s">
        <v>397</v>
      </c>
      <c r="C130" t="s">
        <v>398</v>
      </c>
      <c r="D130" t="s">
        <v>399</v>
      </c>
      <c r="E130" t="s">
        <v>18</v>
      </c>
      <c r="F130">
        <v>92583</v>
      </c>
      <c r="G130">
        <v>725</v>
      </c>
      <c r="H130">
        <v>2900</v>
      </c>
      <c r="I130" t="s">
        <v>400</v>
      </c>
      <c r="K130">
        <v>2.76</v>
      </c>
      <c r="L130">
        <f t="shared" si="6"/>
        <v>2.76</v>
      </c>
      <c r="M130">
        <f t="shared" si="4"/>
        <v>1812.5</v>
      </c>
      <c r="N130">
        <f t="shared" si="5"/>
        <v>5002.5</v>
      </c>
    </row>
    <row r="131" spans="1:14">
      <c r="A131" t="s">
        <v>401</v>
      </c>
      <c r="B131" t="s">
        <v>402</v>
      </c>
      <c r="C131" t="s">
        <v>403</v>
      </c>
      <c r="D131" t="s">
        <v>404</v>
      </c>
      <c r="E131" t="s">
        <v>18</v>
      </c>
      <c r="F131">
        <v>90015</v>
      </c>
      <c r="I131" t="s">
        <v>405</v>
      </c>
      <c r="K131">
        <v>2.17</v>
      </c>
      <c r="L131">
        <f t="shared" si="6"/>
        <v>2.17</v>
      </c>
      <c r="M131">
        <f t="shared" ref="M131:M194" si="7">(G131+H131)/2</f>
        <v>0</v>
      </c>
      <c r="N131">
        <f t="shared" ref="N131:N194" si="8">M131*K131</f>
        <v>0</v>
      </c>
    </row>
    <row r="132" spans="1:14">
      <c r="A132" t="s">
        <v>14</v>
      </c>
      <c r="B132" t="s">
        <v>406</v>
      </c>
      <c r="C132" t="s">
        <v>407</v>
      </c>
      <c r="D132" t="s">
        <v>408</v>
      </c>
      <c r="E132" t="s">
        <v>18</v>
      </c>
      <c r="F132">
        <v>95492</v>
      </c>
      <c r="G132">
        <v>1691</v>
      </c>
      <c r="H132">
        <v>3600</v>
      </c>
      <c r="I132" t="s">
        <v>409</v>
      </c>
      <c r="J132">
        <f>K132/12</f>
        <v>0.80625</v>
      </c>
      <c r="K132">
        <v>9.675</v>
      </c>
      <c r="L132">
        <f t="shared" si="6"/>
        <v>0.80625</v>
      </c>
      <c r="M132">
        <f t="shared" si="7"/>
        <v>2645.5</v>
      </c>
      <c r="N132">
        <f t="shared" si="8"/>
        <v>25595.2125</v>
      </c>
    </row>
    <row r="133" spans="1:14">
      <c r="A133" t="s">
        <v>14</v>
      </c>
      <c r="B133" t="s">
        <v>410</v>
      </c>
      <c r="C133" t="s">
        <v>411</v>
      </c>
      <c r="D133" t="s">
        <v>412</v>
      </c>
      <c r="E133" t="s">
        <v>18</v>
      </c>
      <c r="F133">
        <v>95695</v>
      </c>
      <c r="G133">
        <v>950</v>
      </c>
      <c r="H133">
        <v>950</v>
      </c>
      <c r="I133" t="s">
        <v>413</v>
      </c>
      <c r="K133">
        <v>1.625</v>
      </c>
      <c r="L133">
        <f t="shared" si="6"/>
        <v>1.625</v>
      </c>
      <c r="M133">
        <f t="shared" si="7"/>
        <v>950</v>
      </c>
      <c r="N133">
        <f t="shared" si="8"/>
        <v>1543.75</v>
      </c>
    </row>
    <row r="134" spans="1:14">
      <c r="A134" t="s">
        <v>414</v>
      </c>
      <c r="B134" t="s">
        <v>415</v>
      </c>
      <c r="C134" t="s">
        <v>416</v>
      </c>
      <c r="D134" t="s">
        <v>417</v>
      </c>
      <c r="E134" t="s">
        <v>18</v>
      </c>
      <c r="F134">
        <v>91361</v>
      </c>
      <c r="I134" t="s">
        <v>418</v>
      </c>
      <c r="K134">
        <v>5.5</v>
      </c>
      <c r="L134">
        <f t="shared" ref="L134:L197" si="9">IF(J134="",K134,J134)</f>
        <v>5.5</v>
      </c>
      <c r="M134">
        <f t="shared" si="7"/>
        <v>0</v>
      </c>
      <c r="N134">
        <f t="shared" si="8"/>
        <v>0</v>
      </c>
    </row>
    <row r="135" spans="1:14">
      <c r="A135" t="s">
        <v>14</v>
      </c>
      <c r="B135" t="s">
        <v>419</v>
      </c>
      <c r="C135" t="s">
        <v>420</v>
      </c>
      <c r="D135" t="s">
        <v>421</v>
      </c>
      <c r="E135" t="s">
        <v>18</v>
      </c>
      <c r="F135">
        <v>92879</v>
      </c>
      <c r="G135">
        <v>1160</v>
      </c>
      <c r="H135">
        <v>22040</v>
      </c>
      <c r="I135" t="s">
        <v>422</v>
      </c>
      <c r="K135">
        <v>2.375</v>
      </c>
      <c r="L135">
        <f t="shared" si="9"/>
        <v>2.375</v>
      </c>
      <c r="M135">
        <f t="shared" si="7"/>
        <v>11600</v>
      </c>
      <c r="N135">
        <f t="shared" si="8"/>
        <v>27550</v>
      </c>
    </row>
    <row r="136" spans="1:14">
      <c r="A136" t="s">
        <v>423</v>
      </c>
      <c r="B136" t="s">
        <v>424</v>
      </c>
      <c r="C136" t="s">
        <v>425</v>
      </c>
      <c r="D136" t="s">
        <v>281</v>
      </c>
      <c r="E136" t="s">
        <v>18</v>
      </c>
      <c r="F136">
        <v>91754</v>
      </c>
      <c r="I136" t="s">
        <v>426</v>
      </c>
      <c r="K136">
        <v>3.9</v>
      </c>
      <c r="L136">
        <f t="shared" si="9"/>
        <v>3.9</v>
      </c>
      <c r="M136">
        <f t="shared" si="7"/>
        <v>0</v>
      </c>
      <c r="N136">
        <f t="shared" si="8"/>
        <v>0</v>
      </c>
    </row>
    <row r="137" spans="1:14">
      <c r="A137" t="s">
        <v>14</v>
      </c>
      <c r="B137" t="s">
        <v>427</v>
      </c>
      <c r="C137" t="s">
        <v>428</v>
      </c>
      <c r="D137" t="s">
        <v>429</v>
      </c>
      <c r="E137" t="s">
        <v>18</v>
      </c>
      <c r="F137">
        <v>94002</v>
      </c>
      <c r="G137">
        <v>2000</v>
      </c>
      <c r="H137">
        <v>6100</v>
      </c>
      <c r="I137" t="s">
        <v>223</v>
      </c>
      <c r="K137">
        <v>3.25</v>
      </c>
      <c r="L137">
        <f t="shared" si="9"/>
        <v>3.25</v>
      </c>
      <c r="M137">
        <f t="shared" si="7"/>
        <v>4050</v>
      </c>
      <c r="N137">
        <f t="shared" si="8"/>
        <v>13162.5</v>
      </c>
    </row>
    <row r="138" spans="1:14">
      <c r="A138" t="s">
        <v>14</v>
      </c>
      <c r="B138" t="s">
        <v>430</v>
      </c>
      <c r="C138" t="s">
        <v>431</v>
      </c>
      <c r="D138" t="s">
        <v>432</v>
      </c>
      <c r="E138" t="s">
        <v>18</v>
      </c>
      <c r="F138">
        <v>92346</v>
      </c>
      <c r="G138">
        <v>1200</v>
      </c>
      <c r="H138">
        <v>1200</v>
      </c>
      <c r="I138" t="s">
        <v>142</v>
      </c>
      <c r="J138">
        <f>K138/12</f>
        <v>5.20833333333333</v>
      </c>
      <c r="K138">
        <v>62.5</v>
      </c>
      <c r="L138">
        <f t="shared" si="9"/>
        <v>5.20833333333333</v>
      </c>
      <c r="M138">
        <f t="shared" si="7"/>
        <v>1200</v>
      </c>
      <c r="N138">
        <f t="shared" si="8"/>
        <v>75000</v>
      </c>
    </row>
    <row r="139" spans="1:14">
      <c r="A139" t="s">
        <v>14</v>
      </c>
      <c r="B139" t="s">
        <v>433</v>
      </c>
      <c r="C139" t="s">
        <v>434</v>
      </c>
      <c r="D139" t="s">
        <v>435</v>
      </c>
      <c r="E139" t="s">
        <v>18</v>
      </c>
      <c r="F139">
        <v>93101</v>
      </c>
      <c r="G139">
        <v>183</v>
      </c>
      <c r="H139">
        <v>368</v>
      </c>
      <c r="I139" t="s">
        <v>436</v>
      </c>
      <c r="K139">
        <v>15</v>
      </c>
      <c r="L139">
        <f t="shared" si="9"/>
        <v>15</v>
      </c>
      <c r="M139">
        <f t="shared" si="7"/>
        <v>275.5</v>
      </c>
      <c r="N139">
        <f t="shared" si="8"/>
        <v>4132.5</v>
      </c>
    </row>
    <row r="140" spans="1:14">
      <c r="A140" t="s">
        <v>437</v>
      </c>
      <c r="B140" t="s">
        <v>438</v>
      </c>
      <c r="C140" t="s">
        <v>439</v>
      </c>
      <c r="D140" t="s">
        <v>440</v>
      </c>
      <c r="E140" t="s">
        <v>18</v>
      </c>
      <c r="F140">
        <v>95841</v>
      </c>
      <c r="I140" t="s">
        <v>441</v>
      </c>
      <c r="J140">
        <f>K140/12</f>
        <v>1.125</v>
      </c>
      <c r="K140">
        <v>13.5</v>
      </c>
      <c r="L140">
        <f t="shared" si="9"/>
        <v>1.125</v>
      </c>
      <c r="M140">
        <f t="shared" si="7"/>
        <v>0</v>
      </c>
      <c r="N140">
        <f t="shared" si="8"/>
        <v>0</v>
      </c>
    </row>
    <row r="141" spans="1:14">
      <c r="A141" t="s">
        <v>25</v>
      </c>
      <c r="B141" t="s">
        <v>442</v>
      </c>
      <c r="C141" t="s">
        <v>443</v>
      </c>
      <c r="D141" t="s">
        <v>444</v>
      </c>
      <c r="E141" t="s">
        <v>18</v>
      </c>
      <c r="F141">
        <v>94102</v>
      </c>
      <c r="G141">
        <v>1900</v>
      </c>
      <c r="H141">
        <v>1900</v>
      </c>
      <c r="I141" t="s">
        <v>150</v>
      </c>
      <c r="K141">
        <v>3</v>
      </c>
      <c r="L141">
        <f t="shared" si="9"/>
        <v>3</v>
      </c>
      <c r="M141">
        <f t="shared" si="7"/>
        <v>1900</v>
      </c>
      <c r="N141">
        <f t="shared" si="8"/>
        <v>5700</v>
      </c>
    </row>
    <row r="142" spans="1:14">
      <c r="A142" t="s">
        <v>25</v>
      </c>
      <c r="B142" t="s">
        <v>445</v>
      </c>
      <c r="C142" t="s">
        <v>446</v>
      </c>
      <c r="D142" t="s">
        <v>447</v>
      </c>
      <c r="E142" t="s">
        <v>18</v>
      </c>
      <c r="F142">
        <v>93280</v>
      </c>
      <c r="G142">
        <v>1380</v>
      </c>
      <c r="H142">
        <v>1380</v>
      </c>
      <c r="I142" t="s">
        <v>157</v>
      </c>
      <c r="J142">
        <f>K142/12</f>
        <v>2.5</v>
      </c>
      <c r="K142">
        <v>30</v>
      </c>
      <c r="L142">
        <f t="shared" si="9"/>
        <v>2.5</v>
      </c>
      <c r="M142">
        <f t="shared" si="7"/>
        <v>1380</v>
      </c>
      <c r="N142">
        <f t="shared" si="8"/>
        <v>41400</v>
      </c>
    </row>
    <row r="143" spans="1:14">
      <c r="B143" t="s">
        <v>448</v>
      </c>
      <c r="C143" t="s">
        <v>449</v>
      </c>
      <c r="D143" t="s">
        <v>450</v>
      </c>
      <c r="E143" t="s">
        <v>18</v>
      </c>
      <c r="F143">
        <v>93720</v>
      </c>
      <c r="I143" t="s">
        <v>65</v>
      </c>
      <c r="K143">
        <v>2</v>
      </c>
      <c r="L143">
        <f t="shared" si="9"/>
        <v>2</v>
      </c>
      <c r="M143">
        <f t="shared" si="7"/>
        <v>0</v>
      </c>
      <c r="N143">
        <f t="shared" si="8"/>
        <v>0</v>
      </c>
    </row>
    <row r="144" spans="1:14">
      <c r="A144" t="s">
        <v>14</v>
      </c>
      <c r="B144" t="s">
        <v>451</v>
      </c>
      <c r="C144" t="s">
        <v>452</v>
      </c>
      <c r="D144" t="s">
        <v>453</v>
      </c>
      <c r="E144" t="s">
        <v>18</v>
      </c>
      <c r="F144">
        <v>90029</v>
      </c>
      <c r="G144">
        <v>1325</v>
      </c>
      <c r="H144">
        <v>1575</v>
      </c>
      <c r="I144" t="s">
        <v>454</v>
      </c>
      <c r="K144">
        <v>6.5</v>
      </c>
      <c r="L144">
        <f t="shared" si="9"/>
        <v>6.5</v>
      </c>
      <c r="M144">
        <f t="shared" si="7"/>
        <v>1450</v>
      </c>
      <c r="N144">
        <f t="shared" si="8"/>
        <v>9425</v>
      </c>
    </row>
    <row r="145" spans="1:14">
      <c r="B145" t="s">
        <v>455</v>
      </c>
      <c r="C145" t="s">
        <v>456</v>
      </c>
      <c r="D145" t="s">
        <v>457</v>
      </c>
      <c r="E145" t="s">
        <v>18</v>
      </c>
      <c r="F145">
        <v>94105</v>
      </c>
      <c r="I145" t="s">
        <v>458</v>
      </c>
      <c r="K145">
        <v>5.75</v>
      </c>
      <c r="L145">
        <f t="shared" si="9"/>
        <v>5.75</v>
      </c>
      <c r="M145">
        <f t="shared" si="7"/>
        <v>0</v>
      </c>
      <c r="N145">
        <f t="shared" si="8"/>
        <v>0</v>
      </c>
    </row>
    <row r="146" spans="1:14">
      <c r="B146" t="s">
        <v>459</v>
      </c>
      <c r="C146" t="s">
        <v>460</v>
      </c>
      <c r="D146" t="s">
        <v>461</v>
      </c>
      <c r="E146" t="s">
        <v>18</v>
      </c>
      <c r="F146">
        <v>90022</v>
      </c>
      <c r="I146" t="s">
        <v>462</v>
      </c>
      <c r="K146">
        <v>3.25</v>
      </c>
      <c r="L146">
        <f t="shared" si="9"/>
        <v>3.25</v>
      </c>
      <c r="M146">
        <f t="shared" si="7"/>
        <v>0</v>
      </c>
      <c r="N146">
        <f t="shared" si="8"/>
        <v>0</v>
      </c>
    </row>
    <row r="147" spans="1:14">
      <c r="A147" t="s">
        <v>25</v>
      </c>
      <c r="B147" t="s">
        <v>463</v>
      </c>
      <c r="C147" t="s">
        <v>464</v>
      </c>
      <c r="D147" t="s">
        <v>465</v>
      </c>
      <c r="E147" t="s">
        <v>18</v>
      </c>
      <c r="F147">
        <v>90805</v>
      </c>
      <c r="G147">
        <v>0</v>
      </c>
      <c r="H147">
        <v>1250</v>
      </c>
      <c r="I147" t="s">
        <v>466</v>
      </c>
      <c r="K147">
        <v>5</v>
      </c>
      <c r="L147">
        <f t="shared" si="9"/>
        <v>5</v>
      </c>
      <c r="M147">
        <f t="shared" si="7"/>
        <v>625</v>
      </c>
      <c r="N147">
        <f t="shared" si="8"/>
        <v>3125</v>
      </c>
    </row>
    <row r="148" spans="1:14">
      <c r="A148" t="s">
        <v>25</v>
      </c>
      <c r="B148" t="s">
        <v>467</v>
      </c>
      <c r="C148" t="s">
        <v>468</v>
      </c>
      <c r="D148" t="s">
        <v>17</v>
      </c>
      <c r="E148" t="s">
        <v>18</v>
      </c>
      <c r="F148">
        <v>91403</v>
      </c>
      <c r="G148">
        <v>7150</v>
      </c>
      <c r="H148">
        <v>7150</v>
      </c>
      <c r="I148" t="s">
        <v>469</v>
      </c>
      <c r="K148">
        <v>3.75</v>
      </c>
      <c r="L148">
        <f t="shared" si="9"/>
        <v>3.75</v>
      </c>
      <c r="M148">
        <f t="shared" si="7"/>
        <v>7150</v>
      </c>
      <c r="N148">
        <f t="shared" si="8"/>
        <v>26812.5</v>
      </c>
    </row>
    <row r="149" spans="1:14">
      <c r="B149" t="s">
        <v>470</v>
      </c>
      <c r="C149" t="s">
        <v>471</v>
      </c>
      <c r="D149" t="s">
        <v>472</v>
      </c>
      <c r="E149" t="s">
        <v>18</v>
      </c>
      <c r="F149">
        <v>93722</v>
      </c>
      <c r="I149" t="s">
        <v>65</v>
      </c>
      <c r="K149">
        <v>2</v>
      </c>
      <c r="L149">
        <f t="shared" si="9"/>
        <v>2</v>
      </c>
      <c r="M149">
        <f t="shared" si="7"/>
        <v>0</v>
      </c>
      <c r="N149">
        <f t="shared" si="8"/>
        <v>0</v>
      </c>
    </row>
    <row r="150" spans="1:14">
      <c r="B150" t="s">
        <v>473</v>
      </c>
      <c r="C150" t="s">
        <v>474</v>
      </c>
      <c r="D150" t="s">
        <v>475</v>
      </c>
      <c r="E150" t="s">
        <v>18</v>
      </c>
      <c r="F150">
        <v>95008</v>
      </c>
      <c r="I150" t="s">
        <v>476</v>
      </c>
      <c r="J150">
        <f>K150/12</f>
        <v>6.195</v>
      </c>
      <c r="K150">
        <v>74.34</v>
      </c>
      <c r="L150">
        <f t="shared" si="9"/>
        <v>6.195</v>
      </c>
      <c r="M150">
        <f t="shared" si="7"/>
        <v>0</v>
      </c>
      <c r="N150">
        <f t="shared" si="8"/>
        <v>0</v>
      </c>
    </row>
    <row r="151" spans="1:14">
      <c r="A151" t="s">
        <v>14</v>
      </c>
      <c r="B151" t="s">
        <v>477</v>
      </c>
      <c r="C151" t="s">
        <v>478</v>
      </c>
      <c r="D151" t="s">
        <v>479</v>
      </c>
      <c r="E151" t="s">
        <v>18</v>
      </c>
      <c r="F151">
        <v>94110</v>
      </c>
      <c r="G151">
        <v>3107</v>
      </c>
      <c r="H151">
        <v>3107</v>
      </c>
      <c r="I151" t="s">
        <v>200</v>
      </c>
      <c r="K151">
        <v>2.5</v>
      </c>
      <c r="L151">
        <f t="shared" si="9"/>
        <v>2.5</v>
      </c>
      <c r="M151">
        <f t="shared" si="7"/>
        <v>3107</v>
      </c>
      <c r="N151">
        <f t="shared" si="8"/>
        <v>7767.5</v>
      </c>
    </row>
    <row r="152" spans="1:14">
      <c r="A152" t="s">
        <v>25</v>
      </c>
      <c r="B152" t="s">
        <v>480</v>
      </c>
      <c r="C152" t="s">
        <v>481</v>
      </c>
      <c r="D152" t="s">
        <v>482</v>
      </c>
      <c r="E152" t="s">
        <v>18</v>
      </c>
      <c r="F152">
        <v>90304</v>
      </c>
      <c r="G152">
        <v>3300</v>
      </c>
      <c r="H152">
        <v>3300</v>
      </c>
      <c r="I152" t="s">
        <v>290</v>
      </c>
      <c r="K152">
        <v>4</v>
      </c>
      <c r="L152">
        <f t="shared" si="9"/>
        <v>4</v>
      </c>
      <c r="M152">
        <f t="shared" si="7"/>
        <v>3300</v>
      </c>
      <c r="N152">
        <f t="shared" si="8"/>
        <v>13200</v>
      </c>
    </row>
    <row r="153" spans="1:14">
      <c r="A153" t="s">
        <v>25</v>
      </c>
      <c r="B153" t="s">
        <v>483</v>
      </c>
      <c r="C153" t="s">
        <v>484</v>
      </c>
      <c r="D153" t="s">
        <v>385</v>
      </c>
      <c r="E153" t="s">
        <v>18</v>
      </c>
      <c r="F153">
        <v>90046</v>
      </c>
      <c r="G153">
        <v>1150</v>
      </c>
      <c r="H153">
        <v>1150</v>
      </c>
      <c r="I153" t="s">
        <v>485</v>
      </c>
      <c r="K153">
        <v>5.6</v>
      </c>
      <c r="L153">
        <f t="shared" si="9"/>
        <v>5.6</v>
      </c>
      <c r="M153">
        <f t="shared" si="7"/>
        <v>1150</v>
      </c>
      <c r="N153">
        <f t="shared" si="8"/>
        <v>6440</v>
      </c>
    </row>
    <row r="154" spans="1:14">
      <c r="A154" t="s">
        <v>25</v>
      </c>
      <c r="B154" t="s">
        <v>486</v>
      </c>
      <c r="C154" t="s">
        <v>487</v>
      </c>
      <c r="D154" t="s">
        <v>241</v>
      </c>
      <c r="E154" t="s">
        <v>18</v>
      </c>
      <c r="F154">
        <v>90025</v>
      </c>
      <c r="G154">
        <v>2040</v>
      </c>
      <c r="H154">
        <v>2040</v>
      </c>
      <c r="I154" t="s">
        <v>33</v>
      </c>
      <c r="K154">
        <v>4.5</v>
      </c>
      <c r="L154">
        <f t="shared" si="9"/>
        <v>4.5</v>
      </c>
      <c r="M154">
        <f t="shared" si="7"/>
        <v>2040</v>
      </c>
      <c r="N154">
        <f t="shared" si="8"/>
        <v>9180</v>
      </c>
    </row>
    <row r="155" spans="1:14">
      <c r="A155" t="s">
        <v>14</v>
      </c>
      <c r="B155" t="s">
        <v>488</v>
      </c>
      <c r="C155" t="s">
        <v>202</v>
      </c>
      <c r="D155" t="s">
        <v>489</v>
      </c>
      <c r="E155" t="s">
        <v>18</v>
      </c>
      <c r="F155">
        <v>90291</v>
      </c>
      <c r="G155">
        <v>2839</v>
      </c>
      <c r="H155">
        <v>4748</v>
      </c>
      <c r="I155" t="s">
        <v>490</v>
      </c>
      <c r="K155">
        <v>8</v>
      </c>
      <c r="L155">
        <f t="shared" si="9"/>
        <v>8</v>
      </c>
      <c r="M155">
        <f t="shared" si="7"/>
        <v>3793.5</v>
      </c>
      <c r="N155">
        <f t="shared" si="8"/>
        <v>30348</v>
      </c>
    </row>
    <row r="156" spans="1:14">
      <c r="A156" t="s">
        <v>14</v>
      </c>
      <c r="B156" t="s">
        <v>491</v>
      </c>
      <c r="C156" t="s">
        <v>492</v>
      </c>
      <c r="D156" t="s">
        <v>493</v>
      </c>
      <c r="E156" t="s">
        <v>18</v>
      </c>
      <c r="F156">
        <v>92307</v>
      </c>
      <c r="G156">
        <v>1886</v>
      </c>
      <c r="H156">
        <v>1886</v>
      </c>
      <c r="I156" t="s">
        <v>60</v>
      </c>
      <c r="K156">
        <v>1.75</v>
      </c>
      <c r="L156">
        <f t="shared" si="9"/>
        <v>1.75</v>
      </c>
      <c r="M156">
        <f t="shared" si="7"/>
        <v>1886</v>
      </c>
      <c r="N156">
        <f t="shared" si="8"/>
        <v>3300.5</v>
      </c>
    </row>
    <row r="157" spans="1:14">
      <c r="A157" t="s">
        <v>14</v>
      </c>
      <c r="B157" t="s">
        <v>494</v>
      </c>
      <c r="C157" t="s">
        <v>495</v>
      </c>
      <c r="D157" t="s">
        <v>496</v>
      </c>
      <c r="E157" t="s">
        <v>18</v>
      </c>
      <c r="F157">
        <v>95842</v>
      </c>
      <c r="G157">
        <v>798</v>
      </c>
      <c r="H157">
        <v>26161</v>
      </c>
      <c r="I157" t="s">
        <v>497</v>
      </c>
      <c r="J157">
        <f>K157/12</f>
        <v>1.03958333333333</v>
      </c>
      <c r="K157">
        <v>12.475</v>
      </c>
      <c r="L157">
        <f t="shared" si="9"/>
        <v>1.03958333333333</v>
      </c>
      <c r="M157">
        <f t="shared" si="7"/>
        <v>13479.5</v>
      </c>
      <c r="N157">
        <f t="shared" si="8"/>
        <v>168156.7625</v>
      </c>
    </row>
    <row r="158" spans="1:14">
      <c r="A158" t="s">
        <v>14</v>
      </c>
      <c r="B158" t="s">
        <v>498</v>
      </c>
      <c r="C158" t="s">
        <v>499</v>
      </c>
      <c r="D158" t="s">
        <v>500</v>
      </c>
      <c r="E158" t="s">
        <v>18</v>
      </c>
      <c r="F158">
        <v>90745</v>
      </c>
      <c r="G158">
        <v>2250</v>
      </c>
      <c r="H158">
        <v>2250</v>
      </c>
      <c r="I158" t="s">
        <v>501</v>
      </c>
      <c r="J158">
        <f>K158/12</f>
        <v>8.33333333333333</v>
      </c>
      <c r="K158">
        <v>100</v>
      </c>
      <c r="L158">
        <f t="shared" si="9"/>
        <v>8.33333333333333</v>
      </c>
      <c r="M158">
        <f t="shared" si="7"/>
        <v>2250</v>
      </c>
      <c r="N158">
        <f t="shared" si="8"/>
        <v>225000</v>
      </c>
    </row>
    <row r="159" spans="1:14">
      <c r="A159" t="s">
        <v>14</v>
      </c>
      <c r="B159" t="s">
        <v>502</v>
      </c>
      <c r="C159" t="s">
        <v>503</v>
      </c>
      <c r="D159" t="s">
        <v>504</v>
      </c>
      <c r="E159" t="s">
        <v>18</v>
      </c>
      <c r="F159">
        <v>93424</v>
      </c>
      <c r="G159">
        <v>1584</v>
      </c>
      <c r="H159">
        <v>1584</v>
      </c>
      <c r="I159" t="s">
        <v>169</v>
      </c>
      <c r="K159">
        <v>2.25</v>
      </c>
      <c r="L159">
        <f t="shared" si="9"/>
        <v>2.25</v>
      </c>
      <c r="M159">
        <f t="shared" si="7"/>
        <v>1584</v>
      </c>
      <c r="N159">
        <f t="shared" si="8"/>
        <v>3564</v>
      </c>
    </row>
    <row r="160" spans="1:14">
      <c r="B160" t="s">
        <v>505</v>
      </c>
      <c r="C160" t="s">
        <v>506</v>
      </c>
      <c r="D160" t="s">
        <v>507</v>
      </c>
      <c r="E160" t="s">
        <v>18</v>
      </c>
      <c r="F160">
        <v>95814</v>
      </c>
      <c r="I160" t="s">
        <v>65</v>
      </c>
      <c r="K160">
        <v>2</v>
      </c>
      <c r="L160">
        <f t="shared" si="9"/>
        <v>2</v>
      </c>
      <c r="M160">
        <f t="shared" si="7"/>
        <v>0</v>
      </c>
      <c r="N160">
        <f t="shared" si="8"/>
        <v>0</v>
      </c>
    </row>
    <row r="161" spans="1:14">
      <c r="A161" t="s">
        <v>25</v>
      </c>
      <c r="B161" t="s">
        <v>508</v>
      </c>
      <c r="C161" t="s">
        <v>509</v>
      </c>
      <c r="D161" t="s">
        <v>510</v>
      </c>
      <c r="E161" t="s">
        <v>18</v>
      </c>
      <c r="F161">
        <v>95945</v>
      </c>
      <c r="G161">
        <v>1354</v>
      </c>
      <c r="H161">
        <v>1354</v>
      </c>
      <c r="I161" t="s">
        <v>511</v>
      </c>
      <c r="K161">
        <v>4.06</v>
      </c>
      <c r="L161">
        <f t="shared" si="9"/>
        <v>4.06</v>
      </c>
      <c r="M161">
        <f t="shared" si="7"/>
        <v>1354</v>
      </c>
      <c r="N161">
        <f t="shared" si="8"/>
        <v>5497.24</v>
      </c>
    </row>
    <row r="162" spans="1:14">
      <c r="A162" t="s">
        <v>14</v>
      </c>
      <c r="B162" t="s">
        <v>512</v>
      </c>
      <c r="C162" t="s">
        <v>513</v>
      </c>
      <c r="D162" t="s">
        <v>514</v>
      </c>
      <c r="E162" t="s">
        <v>18</v>
      </c>
      <c r="F162">
        <v>90813</v>
      </c>
      <c r="G162">
        <v>932</v>
      </c>
      <c r="H162">
        <v>3823</v>
      </c>
      <c r="I162" t="s">
        <v>515</v>
      </c>
      <c r="K162">
        <v>2.625</v>
      </c>
      <c r="L162">
        <f t="shared" si="9"/>
        <v>2.625</v>
      </c>
      <c r="M162">
        <f t="shared" si="7"/>
        <v>2377.5</v>
      </c>
      <c r="N162">
        <f t="shared" si="8"/>
        <v>6240.9375</v>
      </c>
    </row>
    <row r="163" spans="1:14">
      <c r="A163" t="s">
        <v>14</v>
      </c>
      <c r="B163" t="s">
        <v>516</v>
      </c>
      <c r="C163" t="s">
        <v>517</v>
      </c>
      <c r="D163" t="s">
        <v>518</v>
      </c>
      <c r="E163" t="s">
        <v>18</v>
      </c>
      <c r="F163">
        <v>94513</v>
      </c>
      <c r="G163">
        <v>1400</v>
      </c>
      <c r="H163">
        <v>15000</v>
      </c>
      <c r="I163" t="s">
        <v>519</v>
      </c>
      <c r="K163">
        <v>2.5</v>
      </c>
      <c r="L163">
        <f t="shared" si="9"/>
        <v>2.5</v>
      </c>
      <c r="M163">
        <f t="shared" si="7"/>
        <v>8200</v>
      </c>
      <c r="N163">
        <f t="shared" si="8"/>
        <v>20500</v>
      </c>
    </row>
    <row r="164" spans="1:14">
      <c r="A164" t="s">
        <v>25</v>
      </c>
      <c r="B164" t="s">
        <v>520</v>
      </c>
      <c r="C164" t="s">
        <v>521</v>
      </c>
      <c r="D164" t="s">
        <v>522</v>
      </c>
      <c r="E164" t="s">
        <v>18</v>
      </c>
      <c r="F164">
        <v>95301</v>
      </c>
      <c r="G164">
        <v>1105</v>
      </c>
      <c r="H164">
        <v>2728</v>
      </c>
      <c r="I164" t="s">
        <v>65</v>
      </c>
      <c r="K164">
        <v>2</v>
      </c>
      <c r="L164">
        <f t="shared" si="9"/>
        <v>2</v>
      </c>
      <c r="M164">
        <f t="shared" si="7"/>
        <v>1916.5</v>
      </c>
      <c r="N164">
        <f t="shared" si="8"/>
        <v>3833</v>
      </c>
    </row>
    <row r="165" spans="1:14">
      <c r="A165" t="s">
        <v>14</v>
      </c>
      <c r="B165" t="s">
        <v>523</v>
      </c>
      <c r="C165" t="s">
        <v>524</v>
      </c>
      <c r="D165" t="s">
        <v>525</v>
      </c>
      <c r="E165" t="s">
        <v>18</v>
      </c>
      <c r="F165">
        <v>95667</v>
      </c>
      <c r="G165">
        <v>5000</v>
      </c>
      <c r="H165">
        <v>23500</v>
      </c>
      <c r="I165" t="s">
        <v>526</v>
      </c>
      <c r="K165">
        <v>1.25</v>
      </c>
      <c r="L165">
        <f t="shared" si="9"/>
        <v>1.25</v>
      </c>
      <c r="M165">
        <f t="shared" si="7"/>
        <v>14250</v>
      </c>
      <c r="N165">
        <f t="shared" si="8"/>
        <v>17812.5</v>
      </c>
    </row>
    <row r="166" spans="1:14">
      <c r="B166" t="s">
        <v>527</v>
      </c>
      <c r="C166" t="s">
        <v>528</v>
      </c>
      <c r="D166" t="s">
        <v>529</v>
      </c>
      <c r="E166" t="s">
        <v>18</v>
      </c>
      <c r="F166">
        <v>95621</v>
      </c>
      <c r="I166" t="s">
        <v>530</v>
      </c>
      <c r="J166">
        <f>K166/12</f>
        <v>1.69</v>
      </c>
      <c r="K166">
        <v>20.28</v>
      </c>
      <c r="L166">
        <f t="shared" si="9"/>
        <v>1.69</v>
      </c>
      <c r="M166">
        <f t="shared" si="7"/>
        <v>0</v>
      </c>
      <c r="N166">
        <f t="shared" si="8"/>
        <v>0</v>
      </c>
    </row>
    <row r="167" spans="1:14">
      <c r="A167" t="s">
        <v>14</v>
      </c>
      <c r="B167" t="s">
        <v>531</v>
      </c>
      <c r="C167" t="s">
        <v>532</v>
      </c>
      <c r="D167" t="s">
        <v>533</v>
      </c>
      <c r="E167" t="s">
        <v>18</v>
      </c>
      <c r="F167">
        <v>90301</v>
      </c>
      <c r="G167">
        <v>888</v>
      </c>
      <c r="H167">
        <v>888</v>
      </c>
      <c r="I167" t="s">
        <v>534</v>
      </c>
      <c r="K167">
        <v>6.19</v>
      </c>
      <c r="L167">
        <f t="shared" si="9"/>
        <v>6.19</v>
      </c>
      <c r="M167">
        <f t="shared" si="7"/>
        <v>888</v>
      </c>
      <c r="N167">
        <f t="shared" si="8"/>
        <v>5496.72</v>
      </c>
    </row>
    <row r="168" spans="1:14">
      <c r="A168" t="s">
        <v>14</v>
      </c>
      <c r="B168" t="s">
        <v>535</v>
      </c>
      <c r="C168" t="s">
        <v>536</v>
      </c>
      <c r="D168" t="s">
        <v>537</v>
      </c>
      <c r="E168" t="s">
        <v>18</v>
      </c>
      <c r="F168">
        <v>95461</v>
      </c>
      <c r="G168">
        <v>2400</v>
      </c>
      <c r="H168">
        <v>2400</v>
      </c>
      <c r="I168" t="s">
        <v>538</v>
      </c>
      <c r="K168">
        <v>1.04</v>
      </c>
      <c r="L168">
        <f t="shared" si="9"/>
        <v>1.04</v>
      </c>
      <c r="M168">
        <f t="shared" si="7"/>
        <v>2400</v>
      </c>
      <c r="N168">
        <f t="shared" si="8"/>
        <v>2496</v>
      </c>
    </row>
    <row r="169" spans="1:14">
      <c r="B169" t="s">
        <v>539</v>
      </c>
      <c r="C169" t="s">
        <v>540</v>
      </c>
      <c r="D169" t="s">
        <v>541</v>
      </c>
      <c r="E169" t="s">
        <v>18</v>
      </c>
      <c r="F169">
        <v>92410</v>
      </c>
      <c r="I169" t="s">
        <v>542</v>
      </c>
      <c r="K169">
        <v>1.525</v>
      </c>
      <c r="L169">
        <f t="shared" si="9"/>
        <v>1.525</v>
      </c>
      <c r="M169">
        <f t="shared" si="7"/>
        <v>0</v>
      </c>
      <c r="N169">
        <f t="shared" si="8"/>
        <v>0</v>
      </c>
    </row>
    <row r="170" spans="1:14">
      <c r="A170" t="s">
        <v>14</v>
      </c>
      <c r="B170" t="s">
        <v>543</v>
      </c>
      <c r="C170" t="s">
        <v>544</v>
      </c>
      <c r="D170" t="s">
        <v>545</v>
      </c>
      <c r="E170" t="s">
        <v>18</v>
      </c>
      <c r="F170">
        <v>91402</v>
      </c>
      <c r="G170">
        <v>1090</v>
      </c>
      <c r="H170">
        <v>1090</v>
      </c>
      <c r="I170" t="s">
        <v>418</v>
      </c>
      <c r="K170">
        <v>5.5</v>
      </c>
      <c r="L170">
        <f t="shared" si="9"/>
        <v>5.5</v>
      </c>
      <c r="M170">
        <f t="shared" si="7"/>
        <v>1090</v>
      </c>
      <c r="N170">
        <f t="shared" si="8"/>
        <v>5995</v>
      </c>
    </row>
    <row r="171" spans="1:14">
      <c r="A171" t="s">
        <v>14</v>
      </c>
      <c r="B171" t="s">
        <v>546</v>
      </c>
      <c r="C171" t="s">
        <v>547</v>
      </c>
      <c r="D171" t="s">
        <v>17</v>
      </c>
      <c r="E171" t="s">
        <v>18</v>
      </c>
      <c r="F171">
        <v>91356</v>
      </c>
      <c r="G171">
        <v>4000</v>
      </c>
      <c r="H171">
        <v>4000</v>
      </c>
      <c r="I171" t="s">
        <v>548</v>
      </c>
      <c r="J171">
        <f>K171/12</f>
        <v>2.85</v>
      </c>
      <c r="K171">
        <v>34.2</v>
      </c>
      <c r="L171">
        <f t="shared" si="9"/>
        <v>2.85</v>
      </c>
      <c r="M171">
        <f t="shared" si="7"/>
        <v>4000</v>
      </c>
      <c r="N171">
        <f t="shared" si="8"/>
        <v>136800</v>
      </c>
    </row>
    <row r="172" spans="1:14">
      <c r="B172" t="s">
        <v>549</v>
      </c>
      <c r="C172" t="s">
        <v>550</v>
      </c>
      <c r="D172" t="s">
        <v>551</v>
      </c>
      <c r="E172" t="s">
        <v>18</v>
      </c>
      <c r="F172">
        <v>95757</v>
      </c>
      <c r="I172" t="s">
        <v>105</v>
      </c>
      <c r="K172">
        <v>2.375</v>
      </c>
      <c r="L172">
        <f t="shared" si="9"/>
        <v>2.375</v>
      </c>
      <c r="M172">
        <f t="shared" si="7"/>
        <v>0</v>
      </c>
      <c r="N172">
        <f t="shared" si="8"/>
        <v>0</v>
      </c>
    </row>
    <row r="173" spans="1:14">
      <c r="B173" t="s">
        <v>552</v>
      </c>
      <c r="C173" t="s">
        <v>553</v>
      </c>
      <c r="D173" t="s">
        <v>554</v>
      </c>
      <c r="E173" t="s">
        <v>18</v>
      </c>
      <c r="F173">
        <v>90006</v>
      </c>
      <c r="I173" t="s">
        <v>555</v>
      </c>
      <c r="K173">
        <v>1.7</v>
      </c>
      <c r="L173">
        <f t="shared" si="9"/>
        <v>1.7</v>
      </c>
      <c r="M173">
        <f t="shared" si="7"/>
        <v>0</v>
      </c>
      <c r="N173">
        <f t="shared" si="8"/>
        <v>0</v>
      </c>
    </row>
    <row r="174" spans="1:14">
      <c r="A174" t="s">
        <v>14</v>
      </c>
      <c r="B174" t="s">
        <v>556</v>
      </c>
      <c r="C174" t="s">
        <v>557</v>
      </c>
      <c r="D174" t="s">
        <v>558</v>
      </c>
      <c r="E174" t="s">
        <v>18</v>
      </c>
      <c r="F174">
        <v>92879</v>
      </c>
      <c r="G174">
        <v>4226</v>
      </c>
      <c r="H174">
        <v>16106</v>
      </c>
      <c r="I174" t="s">
        <v>559</v>
      </c>
      <c r="K174">
        <v>2.1</v>
      </c>
      <c r="L174">
        <f t="shared" si="9"/>
        <v>2.1</v>
      </c>
      <c r="M174">
        <f t="shared" si="7"/>
        <v>10166</v>
      </c>
      <c r="N174">
        <f t="shared" si="8"/>
        <v>21348.6</v>
      </c>
    </row>
    <row r="175" spans="1:14">
      <c r="A175" t="s">
        <v>14</v>
      </c>
      <c r="B175" t="s">
        <v>560</v>
      </c>
      <c r="C175" t="s">
        <v>561</v>
      </c>
      <c r="D175" t="s">
        <v>72</v>
      </c>
      <c r="E175" t="s">
        <v>18</v>
      </c>
      <c r="F175">
        <v>90013</v>
      </c>
      <c r="G175">
        <v>1700</v>
      </c>
      <c r="H175">
        <v>5464</v>
      </c>
      <c r="I175" t="s">
        <v>290</v>
      </c>
      <c r="K175">
        <v>4</v>
      </c>
      <c r="L175">
        <f t="shared" si="9"/>
        <v>4</v>
      </c>
      <c r="M175">
        <f t="shared" si="7"/>
        <v>3582</v>
      </c>
      <c r="N175">
        <f t="shared" si="8"/>
        <v>14328</v>
      </c>
    </row>
    <row r="176" spans="1:14">
      <c r="A176" t="s">
        <v>14</v>
      </c>
      <c r="B176" t="s">
        <v>562</v>
      </c>
      <c r="C176" t="s">
        <v>563</v>
      </c>
      <c r="D176" t="s">
        <v>564</v>
      </c>
      <c r="E176" t="s">
        <v>18</v>
      </c>
      <c r="F176">
        <v>91362</v>
      </c>
      <c r="G176">
        <v>886</v>
      </c>
      <c r="H176">
        <v>3000</v>
      </c>
      <c r="I176" t="s">
        <v>565</v>
      </c>
      <c r="K176">
        <v>4.375</v>
      </c>
      <c r="L176">
        <f t="shared" si="9"/>
        <v>4.375</v>
      </c>
      <c r="M176">
        <f t="shared" si="7"/>
        <v>1943</v>
      </c>
      <c r="N176">
        <f t="shared" si="8"/>
        <v>8500.625</v>
      </c>
    </row>
    <row r="177" spans="1:14">
      <c r="A177" t="s">
        <v>14</v>
      </c>
      <c r="B177" t="s">
        <v>566</v>
      </c>
      <c r="C177" t="s">
        <v>567</v>
      </c>
      <c r="D177" t="s">
        <v>568</v>
      </c>
      <c r="E177" t="s">
        <v>18</v>
      </c>
      <c r="F177">
        <v>95965</v>
      </c>
      <c r="G177">
        <v>960</v>
      </c>
      <c r="H177">
        <v>6000</v>
      </c>
      <c r="I177" t="s">
        <v>569</v>
      </c>
      <c r="K177">
        <v>234</v>
      </c>
      <c r="L177">
        <f t="shared" si="9"/>
        <v>234</v>
      </c>
      <c r="M177">
        <f t="shared" si="7"/>
        <v>3480</v>
      </c>
      <c r="N177">
        <f t="shared" si="8"/>
        <v>814320</v>
      </c>
    </row>
    <row r="178" spans="1:14">
      <c r="B178" t="s">
        <v>570</v>
      </c>
      <c r="C178" t="s">
        <v>571</v>
      </c>
      <c r="D178" t="s">
        <v>572</v>
      </c>
      <c r="E178" t="s">
        <v>18</v>
      </c>
      <c r="F178">
        <v>93940</v>
      </c>
      <c r="I178" t="s">
        <v>573</v>
      </c>
      <c r="K178">
        <v>3.2</v>
      </c>
      <c r="L178">
        <f t="shared" si="9"/>
        <v>3.2</v>
      </c>
      <c r="M178">
        <f t="shared" si="7"/>
        <v>0</v>
      </c>
      <c r="N178">
        <f t="shared" si="8"/>
        <v>0</v>
      </c>
    </row>
    <row r="179" spans="1:14">
      <c r="A179" t="s">
        <v>574</v>
      </c>
      <c r="B179" t="s">
        <v>575</v>
      </c>
      <c r="C179" t="s">
        <v>576</v>
      </c>
      <c r="D179" t="s">
        <v>577</v>
      </c>
      <c r="E179" t="s">
        <v>18</v>
      </c>
      <c r="F179">
        <v>92832</v>
      </c>
      <c r="I179" t="s">
        <v>150</v>
      </c>
      <c r="K179">
        <v>3</v>
      </c>
      <c r="L179">
        <f t="shared" si="9"/>
        <v>3</v>
      </c>
      <c r="M179">
        <f t="shared" si="7"/>
        <v>0</v>
      </c>
      <c r="N179">
        <f t="shared" si="8"/>
        <v>0</v>
      </c>
    </row>
    <row r="180" spans="1:14">
      <c r="B180" t="s">
        <v>578</v>
      </c>
      <c r="C180" t="s">
        <v>579</v>
      </c>
      <c r="D180" t="s">
        <v>580</v>
      </c>
      <c r="E180" t="s">
        <v>18</v>
      </c>
      <c r="F180">
        <v>95814</v>
      </c>
      <c r="I180" t="s">
        <v>169</v>
      </c>
      <c r="K180">
        <v>2.25</v>
      </c>
      <c r="L180">
        <f t="shared" si="9"/>
        <v>2.25</v>
      </c>
      <c r="M180">
        <f t="shared" si="7"/>
        <v>0</v>
      </c>
      <c r="N180">
        <f t="shared" si="8"/>
        <v>0</v>
      </c>
    </row>
    <row r="181" spans="1:14">
      <c r="A181" t="s">
        <v>14</v>
      </c>
      <c r="B181" t="s">
        <v>581</v>
      </c>
      <c r="C181" t="s">
        <v>582</v>
      </c>
      <c r="D181" t="s">
        <v>583</v>
      </c>
      <c r="E181" t="s">
        <v>18</v>
      </c>
      <c r="F181">
        <v>94607</v>
      </c>
      <c r="G181">
        <v>1500</v>
      </c>
      <c r="H181">
        <v>1500</v>
      </c>
      <c r="I181" t="s">
        <v>584</v>
      </c>
      <c r="J181">
        <f>K181/12</f>
        <v>3.33333333333333</v>
      </c>
      <c r="K181">
        <v>40</v>
      </c>
      <c r="L181">
        <f t="shared" si="9"/>
        <v>3.33333333333333</v>
      </c>
      <c r="M181">
        <f t="shared" si="7"/>
        <v>1500</v>
      </c>
      <c r="N181">
        <f t="shared" si="8"/>
        <v>60000</v>
      </c>
    </row>
    <row r="182" spans="1:14">
      <c r="A182" t="s">
        <v>14</v>
      </c>
      <c r="B182" t="s">
        <v>147</v>
      </c>
      <c r="C182" t="s">
        <v>148</v>
      </c>
      <c r="D182" t="s">
        <v>149</v>
      </c>
      <c r="E182" t="s">
        <v>18</v>
      </c>
      <c r="F182">
        <v>90037</v>
      </c>
      <c r="G182">
        <v>1800</v>
      </c>
      <c r="H182">
        <v>1800</v>
      </c>
      <c r="I182" t="s">
        <v>150</v>
      </c>
      <c r="K182">
        <v>3</v>
      </c>
      <c r="L182">
        <f t="shared" si="9"/>
        <v>3</v>
      </c>
      <c r="M182">
        <f t="shared" si="7"/>
        <v>1800</v>
      </c>
      <c r="N182">
        <f t="shared" si="8"/>
        <v>5400</v>
      </c>
    </row>
    <row r="183" spans="1:14">
      <c r="A183" t="s">
        <v>14</v>
      </c>
      <c r="B183" t="s">
        <v>585</v>
      </c>
      <c r="C183" t="s">
        <v>586</v>
      </c>
      <c r="D183" t="s">
        <v>587</v>
      </c>
      <c r="E183" t="s">
        <v>18</v>
      </c>
      <c r="F183">
        <v>93534</v>
      </c>
      <c r="G183">
        <v>4715</v>
      </c>
      <c r="H183">
        <v>4715</v>
      </c>
      <c r="I183" t="s">
        <v>169</v>
      </c>
      <c r="K183">
        <v>2.25</v>
      </c>
      <c r="L183">
        <f t="shared" si="9"/>
        <v>2.25</v>
      </c>
      <c r="M183">
        <f t="shared" si="7"/>
        <v>4715</v>
      </c>
      <c r="N183">
        <f t="shared" si="8"/>
        <v>10608.75</v>
      </c>
    </row>
    <row r="184" spans="1:14">
      <c r="A184" t="s">
        <v>14</v>
      </c>
      <c r="B184" t="s">
        <v>588</v>
      </c>
      <c r="C184" t="s">
        <v>589</v>
      </c>
      <c r="D184" t="s">
        <v>590</v>
      </c>
      <c r="E184" t="s">
        <v>18</v>
      </c>
      <c r="F184">
        <v>94597</v>
      </c>
      <c r="G184">
        <v>1536</v>
      </c>
      <c r="H184">
        <v>1536</v>
      </c>
      <c r="I184" t="s">
        <v>200</v>
      </c>
      <c r="K184">
        <v>2.5</v>
      </c>
      <c r="L184">
        <f t="shared" si="9"/>
        <v>2.5</v>
      </c>
      <c r="M184">
        <f t="shared" si="7"/>
        <v>1536</v>
      </c>
      <c r="N184">
        <f t="shared" si="8"/>
        <v>3840</v>
      </c>
    </row>
    <row r="185" spans="1:14">
      <c r="A185" t="s">
        <v>14</v>
      </c>
      <c r="B185" t="s">
        <v>591</v>
      </c>
      <c r="C185" t="s">
        <v>592</v>
      </c>
      <c r="D185" t="s">
        <v>593</v>
      </c>
      <c r="E185" t="s">
        <v>18</v>
      </c>
      <c r="F185">
        <v>91342</v>
      </c>
      <c r="G185">
        <v>1429</v>
      </c>
      <c r="H185">
        <v>13786</v>
      </c>
      <c r="I185" t="s">
        <v>594</v>
      </c>
      <c r="K185">
        <v>2</v>
      </c>
      <c r="L185">
        <f t="shared" si="9"/>
        <v>2</v>
      </c>
      <c r="M185">
        <f t="shared" si="7"/>
        <v>7607.5</v>
      </c>
      <c r="N185">
        <f t="shared" si="8"/>
        <v>15215</v>
      </c>
    </row>
    <row r="186" spans="1:14">
      <c r="A186" t="s">
        <v>25</v>
      </c>
      <c r="B186" t="s">
        <v>595</v>
      </c>
      <c r="C186" t="s">
        <v>596</v>
      </c>
      <c r="D186" t="s">
        <v>597</v>
      </c>
      <c r="E186" t="s">
        <v>18</v>
      </c>
      <c r="F186">
        <v>92408</v>
      </c>
      <c r="G186">
        <v>10663</v>
      </c>
      <c r="H186">
        <v>10663</v>
      </c>
      <c r="I186" t="s">
        <v>60</v>
      </c>
      <c r="K186">
        <v>1.75</v>
      </c>
      <c r="L186">
        <f t="shared" si="9"/>
        <v>1.75</v>
      </c>
      <c r="M186">
        <f t="shared" si="7"/>
        <v>10663</v>
      </c>
      <c r="N186">
        <f t="shared" si="8"/>
        <v>18660.25</v>
      </c>
    </row>
    <row r="187" spans="1:14">
      <c r="A187" t="s">
        <v>14</v>
      </c>
      <c r="B187" t="s">
        <v>598</v>
      </c>
      <c r="C187" t="s">
        <v>599</v>
      </c>
      <c r="D187" t="s">
        <v>600</v>
      </c>
      <c r="E187" t="s">
        <v>18</v>
      </c>
      <c r="F187">
        <v>91801</v>
      </c>
      <c r="G187">
        <v>468</v>
      </c>
      <c r="H187">
        <v>2000</v>
      </c>
      <c r="I187" t="s">
        <v>601</v>
      </c>
      <c r="K187">
        <v>3</v>
      </c>
      <c r="L187">
        <f t="shared" si="9"/>
        <v>3</v>
      </c>
      <c r="M187">
        <f t="shared" si="7"/>
        <v>1234</v>
      </c>
      <c r="N187">
        <f t="shared" si="8"/>
        <v>3702</v>
      </c>
    </row>
    <row r="188" spans="1:14">
      <c r="A188" t="s">
        <v>14</v>
      </c>
      <c r="B188" t="s">
        <v>602</v>
      </c>
      <c r="C188" t="s">
        <v>603</v>
      </c>
      <c r="D188" t="s">
        <v>604</v>
      </c>
      <c r="E188" t="s">
        <v>18</v>
      </c>
      <c r="F188">
        <v>90815</v>
      </c>
      <c r="G188">
        <v>560</v>
      </c>
      <c r="H188">
        <v>560</v>
      </c>
      <c r="I188" t="s">
        <v>33</v>
      </c>
      <c r="K188">
        <v>4.5</v>
      </c>
      <c r="L188">
        <f t="shared" si="9"/>
        <v>4.5</v>
      </c>
      <c r="M188">
        <f t="shared" si="7"/>
        <v>560</v>
      </c>
      <c r="N188">
        <f t="shared" si="8"/>
        <v>2520</v>
      </c>
    </row>
    <row r="189" spans="1:14">
      <c r="A189" t="s">
        <v>14</v>
      </c>
      <c r="B189" t="s">
        <v>605</v>
      </c>
      <c r="C189" t="s">
        <v>606</v>
      </c>
      <c r="D189" t="s">
        <v>607</v>
      </c>
      <c r="E189" t="s">
        <v>18</v>
      </c>
      <c r="F189">
        <v>91321</v>
      </c>
      <c r="I189" t="s">
        <v>37</v>
      </c>
      <c r="K189">
        <v>1</v>
      </c>
      <c r="L189">
        <f t="shared" si="9"/>
        <v>1</v>
      </c>
      <c r="M189">
        <f t="shared" si="7"/>
        <v>0</v>
      </c>
      <c r="N189">
        <f t="shared" si="8"/>
        <v>0</v>
      </c>
    </row>
    <row r="190" spans="1:14">
      <c r="B190" t="s">
        <v>608</v>
      </c>
      <c r="C190" t="s">
        <v>609</v>
      </c>
      <c r="D190" t="s">
        <v>610</v>
      </c>
      <c r="E190" t="s">
        <v>18</v>
      </c>
      <c r="F190">
        <v>91748</v>
      </c>
      <c r="I190" t="s">
        <v>611</v>
      </c>
      <c r="K190">
        <v>4.65</v>
      </c>
      <c r="L190">
        <f t="shared" si="9"/>
        <v>4.65</v>
      </c>
      <c r="M190">
        <f t="shared" si="7"/>
        <v>0</v>
      </c>
      <c r="N190">
        <f t="shared" si="8"/>
        <v>0</v>
      </c>
    </row>
    <row r="191" spans="1:14">
      <c r="A191" t="s">
        <v>14</v>
      </c>
      <c r="B191" t="s">
        <v>612</v>
      </c>
      <c r="C191" t="s">
        <v>301</v>
      </c>
      <c r="D191" t="s">
        <v>613</v>
      </c>
      <c r="E191" t="s">
        <v>18</v>
      </c>
      <c r="F191">
        <v>90013</v>
      </c>
      <c r="G191">
        <v>1800</v>
      </c>
      <c r="H191">
        <v>5890</v>
      </c>
      <c r="I191" t="s">
        <v>614</v>
      </c>
      <c r="K191">
        <v>1.875</v>
      </c>
      <c r="L191">
        <f t="shared" si="9"/>
        <v>1.875</v>
      </c>
      <c r="M191">
        <f t="shared" si="7"/>
        <v>3845</v>
      </c>
      <c r="N191">
        <f t="shared" si="8"/>
        <v>7209.375</v>
      </c>
    </row>
    <row r="192" spans="1:14">
      <c r="A192" t="s">
        <v>14</v>
      </c>
      <c r="B192" t="s">
        <v>615</v>
      </c>
      <c r="C192" t="s">
        <v>616</v>
      </c>
      <c r="D192" t="s">
        <v>617</v>
      </c>
      <c r="E192" t="s">
        <v>18</v>
      </c>
      <c r="F192">
        <v>90036</v>
      </c>
      <c r="G192">
        <v>2300</v>
      </c>
      <c r="H192">
        <v>2300</v>
      </c>
      <c r="I192" t="s">
        <v>618</v>
      </c>
      <c r="K192">
        <v>4.03</v>
      </c>
      <c r="L192">
        <f t="shared" si="9"/>
        <v>4.03</v>
      </c>
      <c r="M192">
        <f t="shared" si="7"/>
        <v>2300</v>
      </c>
      <c r="N192">
        <f t="shared" si="8"/>
        <v>9269</v>
      </c>
    </row>
    <row r="193" spans="1:14">
      <c r="A193" t="s">
        <v>14</v>
      </c>
      <c r="B193" t="s">
        <v>619</v>
      </c>
      <c r="C193" t="s">
        <v>620</v>
      </c>
      <c r="D193" t="s">
        <v>621</v>
      </c>
      <c r="E193" t="s">
        <v>18</v>
      </c>
      <c r="F193">
        <v>91103</v>
      </c>
      <c r="G193">
        <v>3315</v>
      </c>
      <c r="H193">
        <v>3315</v>
      </c>
      <c r="I193" t="s">
        <v>622</v>
      </c>
      <c r="K193">
        <v>3.5</v>
      </c>
      <c r="L193">
        <f t="shared" si="9"/>
        <v>3.5</v>
      </c>
      <c r="M193">
        <f t="shared" si="7"/>
        <v>3315</v>
      </c>
      <c r="N193">
        <f t="shared" si="8"/>
        <v>11602.5</v>
      </c>
    </row>
    <row r="194" spans="1:14">
      <c r="A194" t="s">
        <v>14</v>
      </c>
      <c r="B194" t="s">
        <v>623</v>
      </c>
      <c r="C194" t="s">
        <v>624</v>
      </c>
      <c r="D194" t="s">
        <v>507</v>
      </c>
      <c r="E194" t="s">
        <v>18</v>
      </c>
      <c r="F194">
        <v>95816</v>
      </c>
      <c r="G194">
        <v>1700</v>
      </c>
      <c r="H194">
        <v>1700</v>
      </c>
      <c r="I194" t="s">
        <v>65</v>
      </c>
      <c r="K194">
        <v>2</v>
      </c>
      <c r="L194">
        <f t="shared" si="9"/>
        <v>2</v>
      </c>
      <c r="M194">
        <f t="shared" si="7"/>
        <v>1700</v>
      </c>
      <c r="N194">
        <f t="shared" si="8"/>
        <v>3400</v>
      </c>
    </row>
    <row r="195" spans="1:14">
      <c r="B195" t="s">
        <v>625</v>
      </c>
      <c r="C195" t="s">
        <v>626</v>
      </c>
      <c r="D195" t="s">
        <v>627</v>
      </c>
      <c r="E195" t="s">
        <v>18</v>
      </c>
      <c r="F195">
        <v>93730</v>
      </c>
      <c r="I195" t="s">
        <v>628</v>
      </c>
      <c r="K195">
        <v>3.125</v>
      </c>
      <c r="L195">
        <f t="shared" si="9"/>
        <v>3.125</v>
      </c>
      <c r="M195">
        <f t="shared" ref="M195:M258" si="10">(G195+H195)/2</f>
        <v>0</v>
      </c>
      <c r="N195">
        <f t="shared" ref="N195:N258" si="11">M195*K195</f>
        <v>0</v>
      </c>
    </row>
    <row r="196" spans="1:14">
      <c r="A196" t="s">
        <v>14</v>
      </c>
      <c r="B196" t="s">
        <v>629</v>
      </c>
      <c r="C196" t="s">
        <v>630</v>
      </c>
      <c r="D196" t="s">
        <v>631</v>
      </c>
      <c r="E196" t="s">
        <v>18</v>
      </c>
      <c r="F196">
        <v>90062</v>
      </c>
      <c r="G196">
        <v>1000</v>
      </c>
      <c r="H196">
        <v>2775</v>
      </c>
      <c r="I196" t="s">
        <v>150</v>
      </c>
      <c r="K196">
        <v>3</v>
      </c>
      <c r="L196">
        <f t="shared" si="9"/>
        <v>3</v>
      </c>
      <c r="M196">
        <f t="shared" si="10"/>
        <v>1887.5</v>
      </c>
      <c r="N196">
        <f t="shared" si="11"/>
        <v>5662.5</v>
      </c>
    </row>
    <row r="197" spans="1:14">
      <c r="A197" t="s">
        <v>14</v>
      </c>
      <c r="B197" t="s">
        <v>632</v>
      </c>
      <c r="C197" t="s">
        <v>633</v>
      </c>
      <c r="D197" t="s">
        <v>634</v>
      </c>
      <c r="E197" t="s">
        <v>18</v>
      </c>
      <c r="F197">
        <v>93433</v>
      </c>
      <c r="G197">
        <v>947</v>
      </c>
      <c r="H197">
        <v>2865</v>
      </c>
      <c r="I197" t="s">
        <v>150</v>
      </c>
      <c r="K197">
        <v>3</v>
      </c>
      <c r="L197">
        <f t="shared" si="9"/>
        <v>3</v>
      </c>
      <c r="M197">
        <f t="shared" si="10"/>
        <v>1906</v>
      </c>
      <c r="N197">
        <f t="shared" si="11"/>
        <v>5718</v>
      </c>
    </row>
    <row r="198" spans="1:14">
      <c r="A198" t="s">
        <v>14</v>
      </c>
      <c r="B198" t="s">
        <v>635</v>
      </c>
      <c r="C198" t="s">
        <v>636</v>
      </c>
      <c r="D198" t="s">
        <v>637</v>
      </c>
      <c r="E198" t="s">
        <v>18</v>
      </c>
      <c r="F198">
        <v>95060</v>
      </c>
      <c r="G198">
        <v>1650</v>
      </c>
      <c r="H198">
        <v>1650</v>
      </c>
      <c r="I198" t="s">
        <v>65</v>
      </c>
      <c r="K198">
        <v>2</v>
      </c>
      <c r="L198">
        <f t="shared" ref="L198:L261" si="12">IF(J198="",K198,J198)</f>
        <v>2</v>
      </c>
      <c r="M198">
        <f t="shared" si="10"/>
        <v>1650</v>
      </c>
      <c r="N198">
        <f t="shared" si="11"/>
        <v>3300</v>
      </c>
    </row>
    <row r="199" spans="1:14">
      <c r="A199" t="s">
        <v>14</v>
      </c>
      <c r="B199" t="s">
        <v>638</v>
      </c>
      <c r="C199" t="s">
        <v>639</v>
      </c>
      <c r="D199" t="s">
        <v>640</v>
      </c>
      <c r="E199" t="s">
        <v>18</v>
      </c>
      <c r="F199">
        <v>94583</v>
      </c>
      <c r="G199">
        <v>1500</v>
      </c>
      <c r="H199">
        <v>1500</v>
      </c>
      <c r="I199" t="s">
        <v>223</v>
      </c>
      <c r="K199">
        <v>3.25</v>
      </c>
      <c r="L199">
        <f t="shared" si="12"/>
        <v>3.25</v>
      </c>
      <c r="M199">
        <f t="shared" si="10"/>
        <v>1500</v>
      </c>
      <c r="N199">
        <f t="shared" si="11"/>
        <v>4875</v>
      </c>
    </row>
    <row r="200" spans="1:14">
      <c r="A200" t="s">
        <v>14</v>
      </c>
      <c r="B200" t="s">
        <v>641</v>
      </c>
      <c r="C200" t="s">
        <v>642</v>
      </c>
      <c r="D200" t="s">
        <v>643</v>
      </c>
      <c r="E200" t="s">
        <v>18</v>
      </c>
      <c r="F200">
        <v>90404</v>
      </c>
      <c r="G200">
        <v>8338</v>
      </c>
      <c r="H200">
        <v>8338</v>
      </c>
      <c r="I200" t="s">
        <v>622</v>
      </c>
      <c r="K200">
        <v>3.5</v>
      </c>
      <c r="L200">
        <f t="shared" si="12"/>
        <v>3.5</v>
      </c>
      <c r="M200">
        <f t="shared" si="10"/>
        <v>8338</v>
      </c>
      <c r="N200">
        <f t="shared" si="11"/>
        <v>29183</v>
      </c>
    </row>
    <row r="201" spans="1:14">
      <c r="A201" t="s">
        <v>14</v>
      </c>
      <c r="B201" t="s">
        <v>644</v>
      </c>
      <c r="C201" t="s">
        <v>645</v>
      </c>
      <c r="D201" t="s">
        <v>646</v>
      </c>
      <c r="E201" t="s">
        <v>18</v>
      </c>
      <c r="F201">
        <v>93012</v>
      </c>
      <c r="G201">
        <v>7833</v>
      </c>
      <c r="H201">
        <v>7833</v>
      </c>
      <c r="I201" t="s">
        <v>200</v>
      </c>
      <c r="K201">
        <v>2.5</v>
      </c>
      <c r="L201">
        <f t="shared" si="12"/>
        <v>2.5</v>
      </c>
      <c r="M201">
        <f t="shared" si="10"/>
        <v>7833</v>
      </c>
      <c r="N201">
        <f t="shared" si="11"/>
        <v>19582.5</v>
      </c>
    </row>
    <row r="202" spans="1:14">
      <c r="A202" t="s">
        <v>14</v>
      </c>
      <c r="B202" t="s">
        <v>647</v>
      </c>
      <c r="C202" t="s">
        <v>648</v>
      </c>
      <c r="D202" t="s">
        <v>649</v>
      </c>
      <c r="E202" t="s">
        <v>18</v>
      </c>
      <c r="F202">
        <v>94134</v>
      </c>
      <c r="G202">
        <v>500</v>
      </c>
      <c r="H202">
        <v>500</v>
      </c>
      <c r="I202" t="s">
        <v>526</v>
      </c>
      <c r="K202">
        <v>1.25</v>
      </c>
      <c r="L202">
        <f t="shared" si="12"/>
        <v>1.25</v>
      </c>
      <c r="M202">
        <f t="shared" si="10"/>
        <v>500</v>
      </c>
      <c r="N202">
        <f t="shared" si="11"/>
        <v>625</v>
      </c>
    </row>
    <row r="203" spans="1:14">
      <c r="A203" t="s">
        <v>14</v>
      </c>
      <c r="B203" t="s">
        <v>650</v>
      </c>
      <c r="C203" t="s">
        <v>651</v>
      </c>
      <c r="D203" t="s">
        <v>652</v>
      </c>
      <c r="E203" t="s">
        <v>18</v>
      </c>
      <c r="F203">
        <v>91355</v>
      </c>
      <c r="G203">
        <v>1030</v>
      </c>
      <c r="H203">
        <v>2940</v>
      </c>
      <c r="I203" t="s">
        <v>653</v>
      </c>
      <c r="J203">
        <f>K203/12</f>
        <v>1.65</v>
      </c>
      <c r="K203">
        <v>19.8</v>
      </c>
      <c r="L203">
        <f t="shared" si="12"/>
        <v>1.65</v>
      </c>
      <c r="M203">
        <f t="shared" si="10"/>
        <v>1985</v>
      </c>
      <c r="N203">
        <f t="shared" si="11"/>
        <v>39303</v>
      </c>
    </row>
    <row r="204" spans="1:14">
      <c r="A204" t="s">
        <v>14</v>
      </c>
      <c r="B204" t="s">
        <v>654</v>
      </c>
      <c r="C204" t="s">
        <v>655</v>
      </c>
      <c r="D204" t="s">
        <v>656</v>
      </c>
      <c r="E204" t="s">
        <v>18</v>
      </c>
      <c r="F204">
        <v>90015</v>
      </c>
      <c r="G204">
        <v>1814</v>
      </c>
      <c r="H204">
        <v>3500</v>
      </c>
      <c r="I204" t="s">
        <v>223</v>
      </c>
      <c r="K204">
        <v>3.25</v>
      </c>
      <c r="L204">
        <f t="shared" si="12"/>
        <v>3.25</v>
      </c>
      <c r="M204">
        <f t="shared" si="10"/>
        <v>2657</v>
      </c>
      <c r="N204">
        <f t="shared" si="11"/>
        <v>8635.25</v>
      </c>
    </row>
    <row r="205" spans="1:14">
      <c r="A205" t="s">
        <v>657</v>
      </c>
      <c r="B205" t="s">
        <v>658</v>
      </c>
      <c r="C205" t="s">
        <v>659</v>
      </c>
      <c r="D205" t="s">
        <v>660</v>
      </c>
      <c r="E205" t="s">
        <v>18</v>
      </c>
      <c r="F205">
        <v>90248</v>
      </c>
      <c r="G205">
        <v>1103</v>
      </c>
      <c r="H205">
        <v>22427</v>
      </c>
      <c r="I205" t="s">
        <v>176</v>
      </c>
      <c r="J205">
        <f>K205/12</f>
        <v>3.25</v>
      </c>
      <c r="K205">
        <v>39</v>
      </c>
      <c r="L205">
        <f t="shared" si="12"/>
        <v>3.25</v>
      </c>
      <c r="M205">
        <f t="shared" si="10"/>
        <v>11765</v>
      </c>
      <c r="N205">
        <f t="shared" si="11"/>
        <v>458835</v>
      </c>
    </row>
    <row r="206" spans="1:14">
      <c r="A206" t="s">
        <v>25</v>
      </c>
      <c r="B206" t="s">
        <v>661</v>
      </c>
      <c r="C206" t="s">
        <v>662</v>
      </c>
      <c r="D206" t="s">
        <v>663</v>
      </c>
      <c r="E206" t="s">
        <v>664</v>
      </c>
      <c r="F206">
        <v>47715</v>
      </c>
      <c r="G206">
        <v>6365</v>
      </c>
      <c r="H206">
        <v>6365</v>
      </c>
      <c r="I206" t="s">
        <v>665</v>
      </c>
      <c r="J206">
        <f>K206/12</f>
        <v>1.33333333333333</v>
      </c>
      <c r="K206">
        <v>16</v>
      </c>
      <c r="L206">
        <f t="shared" si="12"/>
        <v>1.33333333333333</v>
      </c>
      <c r="M206">
        <f t="shared" si="10"/>
        <v>6365</v>
      </c>
      <c r="N206">
        <f t="shared" si="11"/>
        <v>101840</v>
      </c>
    </row>
    <row r="207" spans="1:14">
      <c r="B207" t="s">
        <v>666</v>
      </c>
      <c r="C207" t="s">
        <v>667</v>
      </c>
      <c r="D207" t="s">
        <v>668</v>
      </c>
      <c r="E207" t="s">
        <v>18</v>
      </c>
      <c r="F207">
        <v>95819</v>
      </c>
      <c r="I207" t="s">
        <v>669</v>
      </c>
      <c r="K207">
        <v>2.69</v>
      </c>
      <c r="L207">
        <f t="shared" si="12"/>
        <v>2.69</v>
      </c>
      <c r="M207">
        <f t="shared" si="10"/>
        <v>0</v>
      </c>
      <c r="N207">
        <f t="shared" si="11"/>
        <v>0</v>
      </c>
    </row>
    <row r="208" spans="1:14">
      <c r="A208" t="s">
        <v>25</v>
      </c>
      <c r="B208" t="s">
        <v>670</v>
      </c>
      <c r="C208" t="s">
        <v>671</v>
      </c>
      <c r="D208" t="s">
        <v>672</v>
      </c>
      <c r="E208" t="s">
        <v>18</v>
      </c>
      <c r="F208">
        <v>94132</v>
      </c>
      <c r="G208">
        <v>6200</v>
      </c>
      <c r="H208">
        <v>6200</v>
      </c>
      <c r="I208" t="s">
        <v>37</v>
      </c>
      <c r="K208">
        <v>1</v>
      </c>
      <c r="L208">
        <f t="shared" si="12"/>
        <v>1</v>
      </c>
      <c r="M208">
        <f t="shared" si="10"/>
        <v>6200</v>
      </c>
      <c r="N208">
        <f t="shared" si="11"/>
        <v>6200</v>
      </c>
    </row>
    <row r="209" spans="1:14">
      <c r="B209" t="s">
        <v>673</v>
      </c>
      <c r="L209">
        <f t="shared" si="12"/>
        <v>0</v>
      </c>
      <c r="M209">
        <f t="shared" si="10"/>
        <v>0</v>
      </c>
      <c r="N209">
        <f t="shared" si="11"/>
        <v>0</v>
      </c>
    </row>
    <row r="210" spans="1:14">
      <c r="A210" t="s">
        <v>25</v>
      </c>
      <c r="B210" t="s">
        <v>674</v>
      </c>
      <c r="C210" t="s">
        <v>675</v>
      </c>
      <c r="D210" t="s">
        <v>676</v>
      </c>
      <c r="E210" t="s">
        <v>18</v>
      </c>
      <c r="F210">
        <v>95616</v>
      </c>
      <c r="G210">
        <v>1853</v>
      </c>
      <c r="H210">
        <v>7373</v>
      </c>
      <c r="I210" t="s">
        <v>677</v>
      </c>
      <c r="K210">
        <v>3.25</v>
      </c>
      <c r="L210">
        <f t="shared" si="12"/>
        <v>3.25</v>
      </c>
      <c r="M210">
        <f t="shared" si="10"/>
        <v>4613</v>
      </c>
      <c r="N210">
        <f t="shared" si="11"/>
        <v>14992.25</v>
      </c>
    </row>
    <row r="211" spans="1:14">
      <c r="B211" t="s">
        <v>678</v>
      </c>
      <c r="C211" t="s">
        <v>679</v>
      </c>
      <c r="D211" t="s">
        <v>680</v>
      </c>
      <c r="E211" t="s">
        <v>18</v>
      </c>
      <c r="F211">
        <v>95670</v>
      </c>
      <c r="I211" t="s">
        <v>681</v>
      </c>
      <c r="J211">
        <f>K211/12</f>
        <v>2.35</v>
      </c>
      <c r="K211">
        <v>28.2</v>
      </c>
      <c r="L211">
        <f t="shared" si="12"/>
        <v>2.35</v>
      </c>
      <c r="M211">
        <f t="shared" si="10"/>
        <v>0</v>
      </c>
      <c r="N211">
        <f t="shared" si="11"/>
        <v>0</v>
      </c>
    </row>
    <row r="212" spans="1:14">
      <c r="A212" t="s">
        <v>14</v>
      </c>
      <c r="B212" t="s">
        <v>682</v>
      </c>
      <c r="C212" t="s">
        <v>683</v>
      </c>
      <c r="D212" t="s">
        <v>684</v>
      </c>
      <c r="E212" t="s">
        <v>18</v>
      </c>
      <c r="F212">
        <v>93722</v>
      </c>
      <c r="G212">
        <v>750</v>
      </c>
      <c r="H212">
        <v>3150</v>
      </c>
      <c r="I212" t="s">
        <v>685</v>
      </c>
      <c r="K212">
        <v>1.3</v>
      </c>
      <c r="L212">
        <f t="shared" si="12"/>
        <v>1.3</v>
      </c>
      <c r="M212">
        <f t="shared" si="10"/>
        <v>1950</v>
      </c>
      <c r="N212">
        <f t="shared" si="11"/>
        <v>2535</v>
      </c>
    </row>
    <row r="213" spans="1:14">
      <c r="A213" t="s">
        <v>25</v>
      </c>
      <c r="B213" t="s">
        <v>686</v>
      </c>
      <c r="C213" t="s">
        <v>687</v>
      </c>
      <c r="D213" t="s">
        <v>688</v>
      </c>
      <c r="E213" t="s">
        <v>18</v>
      </c>
      <c r="F213">
        <v>93063</v>
      </c>
      <c r="G213">
        <v>1350</v>
      </c>
      <c r="H213">
        <v>1350</v>
      </c>
      <c r="I213" t="s">
        <v>223</v>
      </c>
      <c r="K213">
        <v>3.25</v>
      </c>
      <c r="L213">
        <f t="shared" si="12"/>
        <v>3.25</v>
      </c>
      <c r="M213">
        <f t="shared" si="10"/>
        <v>1350</v>
      </c>
      <c r="N213">
        <f t="shared" si="11"/>
        <v>4387.5</v>
      </c>
    </row>
    <row r="214" spans="1:14">
      <c r="A214" t="s">
        <v>14</v>
      </c>
      <c r="B214" t="s">
        <v>689</v>
      </c>
      <c r="C214" t="s">
        <v>690</v>
      </c>
      <c r="D214" t="s">
        <v>507</v>
      </c>
      <c r="E214" t="s">
        <v>18</v>
      </c>
      <c r="F214">
        <v>95811</v>
      </c>
      <c r="G214">
        <v>1000</v>
      </c>
      <c r="H214">
        <v>4000</v>
      </c>
      <c r="I214" t="s">
        <v>150</v>
      </c>
      <c r="K214">
        <v>3</v>
      </c>
      <c r="L214">
        <f t="shared" si="12"/>
        <v>3</v>
      </c>
      <c r="M214">
        <f t="shared" si="10"/>
        <v>2500</v>
      </c>
      <c r="N214">
        <f t="shared" si="11"/>
        <v>7500</v>
      </c>
    </row>
    <row r="215" spans="1:14">
      <c r="B215" t="s">
        <v>691</v>
      </c>
      <c r="C215" t="s">
        <v>692</v>
      </c>
      <c r="D215" t="s">
        <v>693</v>
      </c>
      <c r="E215" t="s">
        <v>18</v>
      </c>
      <c r="F215">
        <v>92881</v>
      </c>
      <c r="I215" t="s">
        <v>223</v>
      </c>
      <c r="K215">
        <v>3.25</v>
      </c>
      <c r="L215">
        <f t="shared" si="12"/>
        <v>3.25</v>
      </c>
      <c r="M215">
        <f t="shared" si="10"/>
        <v>0</v>
      </c>
      <c r="N215">
        <f t="shared" si="11"/>
        <v>0</v>
      </c>
    </row>
    <row r="216" spans="1:14">
      <c r="A216" t="s">
        <v>14</v>
      </c>
      <c r="B216" t="s">
        <v>694</v>
      </c>
      <c r="C216" t="s">
        <v>695</v>
      </c>
      <c r="D216" t="s">
        <v>696</v>
      </c>
      <c r="E216" t="s">
        <v>18</v>
      </c>
      <c r="F216">
        <v>90640</v>
      </c>
      <c r="G216">
        <v>1020</v>
      </c>
      <c r="H216">
        <v>2040</v>
      </c>
      <c r="I216" t="s">
        <v>65</v>
      </c>
      <c r="K216">
        <v>2</v>
      </c>
      <c r="L216">
        <f t="shared" si="12"/>
        <v>2</v>
      </c>
      <c r="M216">
        <f t="shared" si="10"/>
        <v>1530</v>
      </c>
      <c r="N216">
        <f t="shared" si="11"/>
        <v>3060</v>
      </c>
    </row>
    <row r="217" spans="1:14">
      <c r="B217" t="s">
        <v>697</v>
      </c>
      <c r="C217" t="s">
        <v>698</v>
      </c>
      <c r="D217" t="s">
        <v>699</v>
      </c>
      <c r="E217" t="s">
        <v>18</v>
      </c>
      <c r="F217">
        <v>90013</v>
      </c>
      <c r="I217" t="s">
        <v>700</v>
      </c>
      <c r="K217">
        <v>1.5</v>
      </c>
      <c r="L217">
        <f t="shared" si="12"/>
        <v>1.5</v>
      </c>
      <c r="M217">
        <f t="shared" si="10"/>
        <v>0</v>
      </c>
      <c r="N217">
        <f t="shared" si="11"/>
        <v>0</v>
      </c>
    </row>
    <row r="218" spans="1:14">
      <c r="A218" t="s">
        <v>25</v>
      </c>
      <c r="B218" t="s">
        <v>701</v>
      </c>
      <c r="C218" t="s">
        <v>702</v>
      </c>
      <c r="D218" t="s">
        <v>703</v>
      </c>
      <c r="E218" t="s">
        <v>18</v>
      </c>
      <c r="F218">
        <v>92240</v>
      </c>
      <c r="I218" t="s">
        <v>704</v>
      </c>
      <c r="K218">
        <v>47.5</v>
      </c>
      <c r="L218">
        <f t="shared" si="12"/>
        <v>47.5</v>
      </c>
      <c r="M218">
        <f t="shared" si="10"/>
        <v>0</v>
      </c>
      <c r="N218">
        <f t="shared" si="11"/>
        <v>0</v>
      </c>
    </row>
    <row r="219" spans="1:14">
      <c r="A219" t="s">
        <v>14</v>
      </c>
      <c r="B219" t="s">
        <v>705</v>
      </c>
      <c r="C219" t="s">
        <v>706</v>
      </c>
      <c r="D219" t="s">
        <v>241</v>
      </c>
      <c r="E219" t="s">
        <v>18</v>
      </c>
      <c r="F219">
        <v>90036</v>
      </c>
      <c r="G219">
        <v>668</v>
      </c>
      <c r="H219">
        <v>1855</v>
      </c>
      <c r="I219" t="s">
        <v>622</v>
      </c>
      <c r="K219">
        <v>3.5</v>
      </c>
      <c r="L219">
        <f t="shared" si="12"/>
        <v>3.5</v>
      </c>
      <c r="M219">
        <f t="shared" si="10"/>
        <v>1261.5</v>
      </c>
      <c r="N219">
        <f t="shared" si="11"/>
        <v>4415.25</v>
      </c>
    </row>
    <row r="220" spans="1:14">
      <c r="A220" t="s">
        <v>25</v>
      </c>
      <c r="B220" t="s">
        <v>707</v>
      </c>
      <c r="C220" t="s">
        <v>708</v>
      </c>
      <c r="D220" t="s">
        <v>554</v>
      </c>
      <c r="E220" t="s">
        <v>18</v>
      </c>
      <c r="F220">
        <v>90006</v>
      </c>
      <c r="G220">
        <v>1800</v>
      </c>
      <c r="H220">
        <v>1800</v>
      </c>
      <c r="I220" t="s">
        <v>622</v>
      </c>
      <c r="K220">
        <v>3.5</v>
      </c>
      <c r="L220">
        <f t="shared" si="12"/>
        <v>3.5</v>
      </c>
      <c r="M220">
        <f t="shared" si="10"/>
        <v>1800</v>
      </c>
      <c r="N220">
        <f t="shared" si="11"/>
        <v>6300</v>
      </c>
    </row>
    <row r="221" spans="1:14">
      <c r="A221" t="s">
        <v>14</v>
      </c>
      <c r="B221" t="s">
        <v>709</v>
      </c>
      <c r="C221" t="s">
        <v>710</v>
      </c>
      <c r="D221" t="s">
        <v>711</v>
      </c>
      <c r="E221" t="s">
        <v>18</v>
      </c>
      <c r="F221">
        <v>95670</v>
      </c>
      <c r="G221">
        <v>1370</v>
      </c>
      <c r="H221">
        <v>1379</v>
      </c>
      <c r="I221" t="s">
        <v>712</v>
      </c>
      <c r="K221">
        <v>1.39</v>
      </c>
      <c r="L221">
        <f t="shared" si="12"/>
        <v>1.39</v>
      </c>
      <c r="M221">
        <f t="shared" si="10"/>
        <v>1374.5</v>
      </c>
      <c r="N221">
        <f t="shared" si="11"/>
        <v>1910.555</v>
      </c>
    </row>
    <row r="222" spans="1:14">
      <c r="A222" t="s">
        <v>14</v>
      </c>
      <c r="B222" t="s">
        <v>713</v>
      </c>
      <c r="C222" t="s">
        <v>714</v>
      </c>
      <c r="D222" t="s">
        <v>715</v>
      </c>
      <c r="E222" t="s">
        <v>18</v>
      </c>
      <c r="F222">
        <v>91792</v>
      </c>
      <c r="G222">
        <v>2780</v>
      </c>
      <c r="H222">
        <v>2780</v>
      </c>
      <c r="I222" t="s">
        <v>165</v>
      </c>
      <c r="K222">
        <v>2.75</v>
      </c>
      <c r="L222">
        <f t="shared" si="12"/>
        <v>2.75</v>
      </c>
      <c r="M222">
        <f t="shared" si="10"/>
        <v>2780</v>
      </c>
      <c r="N222">
        <f t="shared" si="11"/>
        <v>7645</v>
      </c>
    </row>
    <row r="223" spans="1:14">
      <c r="A223" t="s">
        <v>14</v>
      </c>
      <c r="B223" t="s">
        <v>716</v>
      </c>
      <c r="C223" t="s">
        <v>717</v>
      </c>
      <c r="D223" t="s">
        <v>453</v>
      </c>
      <c r="E223" t="s">
        <v>18</v>
      </c>
      <c r="F223">
        <v>90028</v>
      </c>
      <c r="G223">
        <v>2425</v>
      </c>
      <c r="H223">
        <v>5031</v>
      </c>
      <c r="I223" t="s">
        <v>718</v>
      </c>
      <c r="K223">
        <v>4.5</v>
      </c>
      <c r="L223">
        <f t="shared" si="12"/>
        <v>4.5</v>
      </c>
      <c r="M223">
        <f t="shared" si="10"/>
        <v>3728</v>
      </c>
      <c r="N223">
        <f t="shared" si="11"/>
        <v>16776</v>
      </c>
    </row>
    <row r="224" spans="1:14">
      <c r="A224" t="s">
        <v>25</v>
      </c>
      <c r="B224" t="s">
        <v>719</v>
      </c>
      <c r="C224" t="s">
        <v>720</v>
      </c>
      <c r="D224" t="s">
        <v>17</v>
      </c>
      <c r="E224" t="s">
        <v>18</v>
      </c>
      <c r="F224">
        <v>91356</v>
      </c>
      <c r="G224">
        <v>1265</v>
      </c>
      <c r="H224">
        <v>1265</v>
      </c>
      <c r="I224" t="s">
        <v>721</v>
      </c>
      <c r="J224">
        <f>K224/12</f>
        <v>0.370833333333333</v>
      </c>
      <c r="K224">
        <v>4.45</v>
      </c>
      <c r="L224">
        <f t="shared" si="12"/>
        <v>0.370833333333333</v>
      </c>
      <c r="M224">
        <f t="shared" si="10"/>
        <v>1265</v>
      </c>
      <c r="N224">
        <f t="shared" si="11"/>
        <v>5629.25</v>
      </c>
    </row>
    <row r="225" spans="1:14">
      <c r="A225" t="s">
        <v>14</v>
      </c>
      <c r="B225" t="s">
        <v>722</v>
      </c>
      <c r="C225" t="s">
        <v>723</v>
      </c>
      <c r="D225" t="s">
        <v>724</v>
      </c>
      <c r="E225" t="s">
        <v>18</v>
      </c>
      <c r="F225">
        <v>93711</v>
      </c>
      <c r="G225">
        <v>2790</v>
      </c>
      <c r="H225">
        <v>2790</v>
      </c>
      <c r="I225" t="s">
        <v>725</v>
      </c>
      <c r="J225">
        <f>K225/12</f>
        <v>1.85</v>
      </c>
      <c r="K225">
        <v>22.2</v>
      </c>
      <c r="L225">
        <f t="shared" si="12"/>
        <v>1.85</v>
      </c>
      <c r="M225">
        <f t="shared" si="10"/>
        <v>2790</v>
      </c>
      <c r="N225">
        <f t="shared" si="11"/>
        <v>61938</v>
      </c>
    </row>
    <row r="226" spans="1:14">
      <c r="A226" t="s">
        <v>657</v>
      </c>
      <c r="B226" t="s">
        <v>726</v>
      </c>
      <c r="C226" t="s">
        <v>727</v>
      </c>
      <c r="D226" t="s">
        <v>728</v>
      </c>
      <c r="E226" t="s">
        <v>18</v>
      </c>
      <c r="F226">
        <v>91364</v>
      </c>
      <c r="G226">
        <v>442</v>
      </c>
      <c r="H226">
        <v>1486</v>
      </c>
      <c r="I226" t="s">
        <v>322</v>
      </c>
      <c r="K226">
        <v>1.95</v>
      </c>
      <c r="L226">
        <f t="shared" si="12"/>
        <v>1.95</v>
      </c>
      <c r="M226">
        <f t="shared" si="10"/>
        <v>964</v>
      </c>
      <c r="N226">
        <f t="shared" si="11"/>
        <v>1879.8</v>
      </c>
    </row>
    <row r="227" spans="1:14">
      <c r="A227" t="s">
        <v>14</v>
      </c>
      <c r="B227" t="s">
        <v>729</v>
      </c>
      <c r="C227" t="s">
        <v>730</v>
      </c>
      <c r="D227" t="s">
        <v>731</v>
      </c>
      <c r="E227" t="s">
        <v>18</v>
      </c>
      <c r="F227">
        <v>91101</v>
      </c>
      <c r="G227">
        <v>1000</v>
      </c>
      <c r="H227">
        <v>6000</v>
      </c>
      <c r="I227" t="s">
        <v>677</v>
      </c>
      <c r="K227">
        <v>3.25</v>
      </c>
      <c r="L227">
        <f t="shared" si="12"/>
        <v>3.25</v>
      </c>
      <c r="M227">
        <f t="shared" si="10"/>
        <v>3500</v>
      </c>
      <c r="N227">
        <f t="shared" si="11"/>
        <v>11375</v>
      </c>
    </row>
    <row r="228" spans="1:14">
      <c r="A228" t="s">
        <v>14</v>
      </c>
      <c r="B228" t="s">
        <v>732</v>
      </c>
      <c r="C228" t="s">
        <v>733</v>
      </c>
      <c r="D228" t="s">
        <v>734</v>
      </c>
      <c r="E228" t="s">
        <v>18</v>
      </c>
      <c r="F228">
        <v>93309</v>
      </c>
      <c r="G228">
        <v>1904</v>
      </c>
      <c r="H228">
        <v>5774</v>
      </c>
      <c r="I228" t="s">
        <v>735</v>
      </c>
      <c r="K228">
        <v>1.85</v>
      </c>
      <c r="L228">
        <f t="shared" si="12"/>
        <v>1.85</v>
      </c>
      <c r="M228">
        <f t="shared" si="10"/>
        <v>3839</v>
      </c>
      <c r="N228">
        <f t="shared" si="11"/>
        <v>7102.15</v>
      </c>
    </row>
    <row r="229" spans="1:14">
      <c r="A229" t="s">
        <v>736</v>
      </c>
      <c r="B229" t="s">
        <v>737</v>
      </c>
      <c r="C229" t="s">
        <v>738</v>
      </c>
      <c r="D229" t="s">
        <v>739</v>
      </c>
      <c r="E229" t="s">
        <v>18</v>
      </c>
      <c r="F229">
        <v>93257</v>
      </c>
      <c r="G229">
        <v>1411</v>
      </c>
      <c r="H229">
        <v>1411</v>
      </c>
      <c r="I229" t="s">
        <v>169</v>
      </c>
      <c r="K229">
        <v>2.25</v>
      </c>
      <c r="L229">
        <f t="shared" si="12"/>
        <v>2.25</v>
      </c>
      <c r="M229">
        <f t="shared" si="10"/>
        <v>1411</v>
      </c>
      <c r="N229">
        <f t="shared" si="11"/>
        <v>3174.75</v>
      </c>
    </row>
    <row r="230" spans="1:14">
      <c r="A230" t="s">
        <v>14</v>
      </c>
      <c r="B230" t="s">
        <v>740</v>
      </c>
      <c r="C230" t="s">
        <v>741</v>
      </c>
      <c r="D230" t="s">
        <v>742</v>
      </c>
      <c r="E230" t="s">
        <v>18</v>
      </c>
      <c r="F230">
        <v>93065</v>
      </c>
      <c r="G230">
        <v>6725</v>
      </c>
      <c r="H230">
        <v>6725</v>
      </c>
      <c r="I230" t="s">
        <v>165</v>
      </c>
      <c r="K230">
        <v>2.75</v>
      </c>
      <c r="L230">
        <f t="shared" si="12"/>
        <v>2.75</v>
      </c>
      <c r="M230">
        <f t="shared" si="10"/>
        <v>6725</v>
      </c>
      <c r="N230">
        <f t="shared" si="11"/>
        <v>18493.75</v>
      </c>
    </row>
    <row r="231" spans="1:14">
      <c r="A231" t="s">
        <v>657</v>
      </c>
      <c r="B231" t="s">
        <v>743</v>
      </c>
      <c r="C231" t="s">
        <v>744</v>
      </c>
      <c r="D231" t="s">
        <v>745</v>
      </c>
      <c r="E231" t="s">
        <v>18</v>
      </c>
      <c r="F231">
        <v>90040</v>
      </c>
      <c r="G231">
        <v>1660</v>
      </c>
      <c r="H231">
        <v>2605</v>
      </c>
      <c r="I231" t="s">
        <v>746</v>
      </c>
      <c r="K231">
        <v>1.875</v>
      </c>
      <c r="L231">
        <f t="shared" si="12"/>
        <v>1.875</v>
      </c>
      <c r="M231">
        <f t="shared" si="10"/>
        <v>2132.5</v>
      </c>
      <c r="N231">
        <f t="shared" si="11"/>
        <v>3998.4375</v>
      </c>
    </row>
    <row r="232" spans="1:14">
      <c r="B232" t="s">
        <v>747</v>
      </c>
      <c r="C232" t="s">
        <v>748</v>
      </c>
      <c r="D232" t="s">
        <v>199</v>
      </c>
      <c r="E232" t="s">
        <v>18</v>
      </c>
      <c r="F232">
        <v>96150</v>
      </c>
      <c r="I232" t="s">
        <v>165</v>
      </c>
      <c r="K232">
        <v>2.75</v>
      </c>
      <c r="L232">
        <f t="shared" si="12"/>
        <v>2.75</v>
      </c>
      <c r="M232">
        <f t="shared" si="10"/>
        <v>0</v>
      </c>
      <c r="N232">
        <f t="shared" si="11"/>
        <v>0</v>
      </c>
    </row>
    <row r="233" spans="1:14">
      <c r="B233" t="s">
        <v>749</v>
      </c>
      <c r="C233" t="s">
        <v>750</v>
      </c>
      <c r="D233" t="s">
        <v>751</v>
      </c>
      <c r="E233" t="s">
        <v>18</v>
      </c>
      <c r="F233">
        <v>90014</v>
      </c>
      <c r="I233" t="s">
        <v>752</v>
      </c>
      <c r="K233">
        <v>1.22</v>
      </c>
      <c r="L233">
        <f t="shared" si="12"/>
        <v>1.22</v>
      </c>
      <c r="M233">
        <f t="shared" si="10"/>
        <v>0</v>
      </c>
      <c r="N233">
        <f t="shared" si="11"/>
        <v>0</v>
      </c>
    </row>
    <row r="234" spans="1:14">
      <c r="A234" t="s">
        <v>14</v>
      </c>
      <c r="B234" t="s">
        <v>753</v>
      </c>
      <c r="C234" t="s">
        <v>754</v>
      </c>
      <c r="D234" t="s">
        <v>755</v>
      </c>
      <c r="E234" t="s">
        <v>18</v>
      </c>
      <c r="F234">
        <v>90029</v>
      </c>
      <c r="G234">
        <v>1170</v>
      </c>
      <c r="H234">
        <v>1446</v>
      </c>
      <c r="I234" t="s">
        <v>756</v>
      </c>
      <c r="K234">
        <v>4.125</v>
      </c>
      <c r="L234">
        <f t="shared" si="12"/>
        <v>4.125</v>
      </c>
      <c r="M234">
        <f t="shared" si="10"/>
        <v>1308</v>
      </c>
      <c r="N234">
        <f t="shared" si="11"/>
        <v>5395.5</v>
      </c>
    </row>
    <row r="235" spans="1:14">
      <c r="B235" t="s">
        <v>757</v>
      </c>
      <c r="C235" t="s">
        <v>758</v>
      </c>
      <c r="D235" t="s">
        <v>453</v>
      </c>
      <c r="E235" t="s">
        <v>18</v>
      </c>
      <c r="F235">
        <v>90046</v>
      </c>
      <c r="I235" t="s">
        <v>759</v>
      </c>
      <c r="K235">
        <v>5.345</v>
      </c>
      <c r="L235">
        <f t="shared" si="12"/>
        <v>5.345</v>
      </c>
      <c r="M235">
        <f t="shared" si="10"/>
        <v>0</v>
      </c>
      <c r="N235">
        <f t="shared" si="11"/>
        <v>0</v>
      </c>
    </row>
    <row r="236" spans="1:14">
      <c r="A236" t="s">
        <v>657</v>
      </c>
      <c r="B236" t="s">
        <v>760</v>
      </c>
      <c r="C236" t="s">
        <v>761</v>
      </c>
      <c r="D236" t="s">
        <v>762</v>
      </c>
      <c r="E236" t="s">
        <v>18</v>
      </c>
      <c r="F236">
        <v>90255</v>
      </c>
      <c r="G236">
        <v>1240</v>
      </c>
      <c r="H236">
        <v>7025</v>
      </c>
      <c r="I236" t="s">
        <v>65</v>
      </c>
      <c r="K236">
        <v>2</v>
      </c>
      <c r="L236">
        <f t="shared" si="12"/>
        <v>2</v>
      </c>
      <c r="M236">
        <f t="shared" si="10"/>
        <v>4132.5</v>
      </c>
      <c r="N236">
        <f t="shared" si="11"/>
        <v>8265</v>
      </c>
    </row>
    <row r="237" spans="1:14">
      <c r="A237" t="s">
        <v>14</v>
      </c>
      <c r="B237" t="s">
        <v>763</v>
      </c>
      <c r="C237" t="s">
        <v>764</v>
      </c>
      <c r="D237" t="s">
        <v>765</v>
      </c>
      <c r="E237" t="s">
        <v>18</v>
      </c>
      <c r="F237">
        <v>93657</v>
      </c>
      <c r="G237">
        <v>1066</v>
      </c>
      <c r="H237">
        <v>1066</v>
      </c>
      <c r="I237" t="s">
        <v>200</v>
      </c>
      <c r="K237">
        <v>2.5</v>
      </c>
      <c r="L237">
        <f t="shared" si="12"/>
        <v>2.5</v>
      </c>
      <c r="M237">
        <f t="shared" si="10"/>
        <v>1066</v>
      </c>
      <c r="N237">
        <f t="shared" si="11"/>
        <v>2665</v>
      </c>
    </row>
    <row r="238" spans="1:14">
      <c r="A238" t="s">
        <v>14</v>
      </c>
      <c r="B238" t="s">
        <v>766</v>
      </c>
      <c r="C238" t="s">
        <v>767</v>
      </c>
      <c r="D238" t="s">
        <v>768</v>
      </c>
      <c r="E238" t="s">
        <v>18</v>
      </c>
      <c r="F238">
        <v>91301</v>
      </c>
      <c r="G238">
        <v>847</v>
      </c>
      <c r="H238">
        <v>5000</v>
      </c>
      <c r="I238" t="s">
        <v>769</v>
      </c>
      <c r="K238">
        <v>2.5</v>
      </c>
      <c r="L238">
        <f t="shared" si="12"/>
        <v>2.5</v>
      </c>
      <c r="M238">
        <f t="shared" si="10"/>
        <v>2923.5</v>
      </c>
      <c r="N238">
        <f t="shared" si="11"/>
        <v>7308.75</v>
      </c>
    </row>
    <row r="239" spans="1:14">
      <c r="A239" t="s">
        <v>14</v>
      </c>
      <c r="B239" t="s">
        <v>770</v>
      </c>
      <c r="C239" t="s">
        <v>771</v>
      </c>
      <c r="D239" t="s">
        <v>772</v>
      </c>
      <c r="E239" t="s">
        <v>18</v>
      </c>
      <c r="F239">
        <v>95482</v>
      </c>
      <c r="G239">
        <v>1800</v>
      </c>
      <c r="H239">
        <v>4500</v>
      </c>
      <c r="I239" t="s">
        <v>601</v>
      </c>
      <c r="K239">
        <v>3</v>
      </c>
      <c r="L239">
        <f t="shared" si="12"/>
        <v>3</v>
      </c>
      <c r="M239">
        <f t="shared" si="10"/>
        <v>3150</v>
      </c>
      <c r="N239">
        <f t="shared" si="11"/>
        <v>9450</v>
      </c>
    </row>
    <row r="240" spans="1:14">
      <c r="A240" t="s">
        <v>14</v>
      </c>
      <c r="B240" t="s">
        <v>773</v>
      </c>
      <c r="C240" t="s">
        <v>774</v>
      </c>
      <c r="D240" t="s">
        <v>775</v>
      </c>
      <c r="E240" t="s">
        <v>18</v>
      </c>
      <c r="F240">
        <v>90035</v>
      </c>
      <c r="G240">
        <v>1650</v>
      </c>
      <c r="H240">
        <v>1650</v>
      </c>
      <c r="I240" t="s">
        <v>776</v>
      </c>
      <c r="K240">
        <v>3.95</v>
      </c>
      <c r="L240">
        <f t="shared" si="12"/>
        <v>3.95</v>
      </c>
      <c r="M240">
        <f t="shared" si="10"/>
        <v>1650</v>
      </c>
      <c r="N240">
        <f t="shared" si="11"/>
        <v>6517.5</v>
      </c>
    </row>
    <row r="241" spans="1:14">
      <c r="B241" t="s">
        <v>777</v>
      </c>
      <c r="C241" t="s">
        <v>778</v>
      </c>
      <c r="D241" t="s">
        <v>779</v>
      </c>
      <c r="E241" t="s">
        <v>18</v>
      </c>
      <c r="F241">
        <v>91776</v>
      </c>
      <c r="I241" t="s">
        <v>56</v>
      </c>
      <c r="K241">
        <v>1.5</v>
      </c>
      <c r="L241">
        <f t="shared" si="12"/>
        <v>1.5</v>
      </c>
      <c r="M241">
        <f t="shared" si="10"/>
        <v>0</v>
      </c>
      <c r="N241">
        <f t="shared" si="11"/>
        <v>0</v>
      </c>
    </row>
    <row r="242" spans="1:14">
      <c r="A242" t="s">
        <v>14</v>
      </c>
      <c r="B242" t="s">
        <v>780</v>
      </c>
      <c r="C242" t="s">
        <v>781</v>
      </c>
      <c r="D242" t="s">
        <v>782</v>
      </c>
      <c r="E242" t="s">
        <v>18</v>
      </c>
      <c r="F242">
        <v>95340</v>
      </c>
      <c r="G242">
        <v>1500</v>
      </c>
      <c r="H242">
        <v>15000</v>
      </c>
      <c r="I242" t="s">
        <v>614</v>
      </c>
      <c r="K242">
        <v>1.875</v>
      </c>
      <c r="L242">
        <f t="shared" si="12"/>
        <v>1.875</v>
      </c>
      <c r="M242">
        <f t="shared" si="10"/>
        <v>8250</v>
      </c>
      <c r="N242">
        <f t="shared" si="11"/>
        <v>15468.75</v>
      </c>
    </row>
    <row r="243" spans="1:14">
      <c r="A243" t="s">
        <v>14</v>
      </c>
      <c r="B243" t="s">
        <v>783</v>
      </c>
      <c r="C243" t="s">
        <v>784</v>
      </c>
      <c r="D243" t="s">
        <v>785</v>
      </c>
      <c r="E243" t="s">
        <v>18</v>
      </c>
      <c r="F243">
        <v>95742</v>
      </c>
      <c r="G243">
        <v>4465</v>
      </c>
      <c r="H243">
        <v>4465</v>
      </c>
      <c r="I243" t="s">
        <v>712</v>
      </c>
      <c r="K243">
        <v>1.39</v>
      </c>
      <c r="L243">
        <f t="shared" si="12"/>
        <v>1.39</v>
      </c>
      <c r="M243">
        <f t="shared" si="10"/>
        <v>4465</v>
      </c>
      <c r="N243">
        <f t="shared" si="11"/>
        <v>6206.35</v>
      </c>
    </row>
    <row r="244" spans="1:14">
      <c r="A244" t="s">
        <v>20</v>
      </c>
      <c r="B244" t="s">
        <v>786</v>
      </c>
      <c r="C244" t="s">
        <v>787</v>
      </c>
      <c r="D244" t="s">
        <v>788</v>
      </c>
      <c r="E244" t="s">
        <v>18</v>
      </c>
      <c r="F244">
        <v>90631</v>
      </c>
      <c r="G244">
        <v>900</v>
      </c>
      <c r="H244">
        <v>2700</v>
      </c>
      <c r="I244" t="s">
        <v>559</v>
      </c>
      <c r="K244">
        <v>2.1</v>
      </c>
      <c r="L244">
        <f t="shared" si="12"/>
        <v>2.1</v>
      </c>
      <c r="M244">
        <f t="shared" si="10"/>
        <v>1800</v>
      </c>
      <c r="N244">
        <f t="shared" si="11"/>
        <v>3780</v>
      </c>
    </row>
    <row r="245" spans="1:14">
      <c r="A245" t="s">
        <v>14</v>
      </c>
      <c r="B245" t="s">
        <v>789</v>
      </c>
      <c r="C245" t="s">
        <v>790</v>
      </c>
      <c r="D245" t="s">
        <v>72</v>
      </c>
      <c r="E245" t="s">
        <v>18</v>
      </c>
      <c r="F245">
        <v>90057</v>
      </c>
      <c r="G245">
        <v>1600</v>
      </c>
      <c r="H245">
        <v>2300</v>
      </c>
      <c r="I245" t="s">
        <v>791</v>
      </c>
      <c r="K245">
        <v>3.125</v>
      </c>
      <c r="L245">
        <f t="shared" si="12"/>
        <v>3.125</v>
      </c>
      <c r="M245">
        <f t="shared" si="10"/>
        <v>1950</v>
      </c>
      <c r="N245">
        <f t="shared" si="11"/>
        <v>6093.75</v>
      </c>
    </row>
    <row r="246" spans="1:14">
      <c r="A246" t="s">
        <v>14</v>
      </c>
      <c r="B246" t="s">
        <v>792</v>
      </c>
      <c r="C246" t="s">
        <v>793</v>
      </c>
      <c r="D246" t="s">
        <v>794</v>
      </c>
      <c r="E246" t="s">
        <v>18</v>
      </c>
      <c r="F246">
        <v>91101</v>
      </c>
      <c r="G246">
        <v>840</v>
      </c>
      <c r="H246">
        <v>1475</v>
      </c>
      <c r="I246" t="s">
        <v>795</v>
      </c>
      <c r="J246">
        <f>K246/12</f>
        <v>3.65</v>
      </c>
      <c r="K246">
        <v>43.8</v>
      </c>
      <c r="L246">
        <f t="shared" si="12"/>
        <v>3.65</v>
      </c>
      <c r="M246">
        <f t="shared" si="10"/>
        <v>1157.5</v>
      </c>
      <c r="N246">
        <f t="shared" si="11"/>
        <v>50698.5</v>
      </c>
    </row>
    <row r="247" spans="1:14">
      <c r="A247" t="s">
        <v>796</v>
      </c>
      <c r="B247" t="s">
        <v>797</v>
      </c>
      <c r="C247" t="s">
        <v>798</v>
      </c>
      <c r="D247" t="s">
        <v>799</v>
      </c>
      <c r="E247" t="s">
        <v>18</v>
      </c>
      <c r="F247">
        <v>90503</v>
      </c>
      <c r="I247" t="s">
        <v>622</v>
      </c>
      <c r="K247">
        <v>3.5</v>
      </c>
      <c r="L247">
        <f t="shared" si="12"/>
        <v>3.5</v>
      </c>
      <c r="M247">
        <f t="shared" si="10"/>
        <v>0</v>
      </c>
      <c r="N247">
        <f t="shared" si="11"/>
        <v>0</v>
      </c>
    </row>
    <row r="248" spans="1:14">
      <c r="A248" t="s">
        <v>14</v>
      </c>
      <c r="B248" t="s">
        <v>800</v>
      </c>
      <c r="C248" t="s">
        <v>801</v>
      </c>
      <c r="D248" t="s">
        <v>802</v>
      </c>
      <c r="E248" t="s">
        <v>18</v>
      </c>
      <c r="F248">
        <v>94061</v>
      </c>
      <c r="G248">
        <v>11200</v>
      </c>
      <c r="H248">
        <v>11200</v>
      </c>
      <c r="I248" t="s">
        <v>803</v>
      </c>
      <c r="K248">
        <v>2.95</v>
      </c>
      <c r="L248">
        <f t="shared" si="12"/>
        <v>2.95</v>
      </c>
      <c r="M248">
        <f t="shared" si="10"/>
        <v>11200</v>
      </c>
      <c r="N248">
        <f t="shared" si="11"/>
        <v>33040</v>
      </c>
    </row>
    <row r="249" spans="1:14">
      <c r="B249" t="s">
        <v>804</v>
      </c>
      <c r="C249" t="s">
        <v>805</v>
      </c>
      <c r="D249" t="s">
        <v>715</v>
      </c>
      <c r="E249" t="s">
        <v>18</v>
      </c>
      <c r="F249">
        <v>91791</v>
      </c>
      <c r="I249" t="s">
        <v>200</v>
      </c>
      <c r="K249">
        <v>2.5</v>
      </c>
      <c r="L249">
        <f t="shared" si="12"/>
        <v>2.5</v>
      </c>
      <c r="M249">
        <f t="shared" si="10"/>
        <v>0</v>
      </c>
      <c r="N249">
        <f t="shared" si="11"/>
        <v>0</v>
      </c>
    </row>
    <row r="250" spans="1:14">
      <c r="A250" t="s">
        <v>25</v>
      </c>
      <c r="B250" t="s">
        <v>806</v>
      </c>
      <c r="C250" t="s">
        <v>807</v>
      </c>
      <c r="D250" t="s">
        <v>808</v>
      </c>
      <c r="E250" t="s">
        <v>18</v>
      </c>
      <c r="F250">
        <v>93405</v>
      </c>
      <c r="G250">
        <v>5232</v>
      </c>
      <c r="H250">
        <v>5232</v>
      </c>
      <c r="I250" t="s">
        <v>169</v>
      </c>
      <c r="K250">
        <v>2.25</v>
      </c>
      <c r="L250">
        <f t="shared" si="12"/>
        <v>2.25</v>
      </c>
      <c r="M250">
        <f t="shared" si="10"/>
        <v>5232</v>
      </c>
      <c r="N250">
        <f t="shared" si="11"/>
        <v>11772</v>
      </c>
    </row>
    <row r="251" spans="1:14">
      <c r="A251" t="s">
        <v>25</v>
      </c>
      <c r="B251" t="s">
        <v>809</v>
      </c>
      <c r="C251" t="s">
        <v>810</v>
      </c>
      <c r="D251" t="s">
        <v>811</v>
      </c>
      <c r="E251" t="s">
        <v>18</v>
      </c>
      <c r="F251">
        <v>90245</v>
      </c>
      <c r="G251">
        <v>1750</v>
      </c>
      <c r="H251">
        <v>1750</v>
      </c>
      <c r="I251" t="s">
        <v>812</v>
      </c>
      <c r="K251">
        <v>3.33</v>
      </c>
      <c r="L251">
        <f t="shared" si="12"/>
        <v>3.33</v>
      </c>
      <c r="M251">
        <f t="shared" si="10"/>
        <v>1750</v>
      </c>
      <c r="N251">
        <f t="shared" si="11"/>
        <v>5827.5</v>
      </c>
    </row>
    <row r="252" spans="1:14">
      <c r="B252" t="s">
        <v>813</v>
      </c>
      <c r="C252" t="s">
        <v>814</v>
      </c>
      <c r="D252" t="s">
        <v>815</v>
      </c>
      <c r="E252" t="s">
        <v>18</v>
      </c>
      <c r="F252">
        <v>95926</v>
      </c>
      <c r="I252" t="s">
        <v>56</v>
      </c>
      <c r="K252">
        <v>1.5</v>
      </c>
      <c r="L252">
        <f t="shared" si="12"/>
        <v>1.5</v>
      </c>
      <c r="M252">
        <f t="shared" si="10"/>
        <v>0</v>
      </c>
      <c r="N252">
        <f t="shared" si="11"/>
        <v>0</v>
      </c>
    </row>
    <row r="253" spans="1:14">
      <c r="A253" t="s">
        <v>25</v>
      </c>
      <c r="B253" t="s">
        <v>816</v>
      </c>
      <c r="C253" t="s">
        <v>817</v>
      </c>
      <c r="D253" t="s">
        <v>818</v>
      </c>
      <c r="E253" t="s">
        <v>18</v>
      </c>
      <c r="F253">
        <v>95687</v>
      </c>
      <c r="G253">
        <v>1200</v>
      </c>
      <c r="H253">
        <v>1200</v>
      </c>
      <c r="I253" t="s">
        <v>69</v>
      </c>
      <c r="K253">
        <v>2.45</v>
      </c>
      <c r="L253">
        <f t="shared" si="12"/>
        <v>2.45</v>
      </c>
      <c r="M253">
        <f t="shared" si="10"/>
        <v>1200</v>
      </c>
      <c r="N253">
        <f t="shared" si="11"/>
        <v>2940</v>
      </c>
    </row>
    <row r="254" spans="1:14">
      <c r="A254" t="s">
        <v>25</v>
      </c>
      <c r="B254" t="s">
        <v>819</v>
      </c>
      <c r="C254" t="s">
        <v>820</v>
      </c>
      <c r="D254" t="s">
        <v>821</v>
      </c>
      <c r="E254" t="s">
        <v>18</v>
      </c>
      <c r="F254">
        <v>93405</v>
      </c>
      <c r="G254">
        <v>5940</v>
      </c>
      <c r="H254">
        <v>5940</v>
      </c>
      <c r="I254" t="s">
        <v>65</v>
      </c>
      <c r="K254">
        <v>2</v>
      </c>
      <c r="L254">
        <f t="shared" si="12"/>
        <v>2</v>
      </c>
      <c r="M254">
        <f t="shared" si="10"/>
        <v>5940</v>
      </c>
      <c r="N254">
        <f t="shared" si="11"/>
        <v>11880</v>
      </c>
    </row>
    <row r="255" spans="1:14">
      <c r="A255" t="s">
        <v>14</v>
      </c>
      <c r="B255" t="s">
        <v>822</v>
      </c>
      <c r="C255" t="s">
        <v>823</v>
      </c>
      <c r="D255" t="s">
        <v>824</v>
      </c>
      <c r="E255" t="s">
        <v>18</v>
      </c>
      <c r="F255">
        <v>93726</v>
      </c>
      <c r="G255">
        <v>4005</v>
      </c>
      <c r="H255">
        <v>4005</v>
      </c>
      <c r="I255" t="s">
        <v>37</v>
      </c>
      <c r="K255">
        <v>1</v>
      </c>
      <c r="L255">
        <f t="shared" si="12"/>
        <v>1</v>
      </c>
      <c r="M255">
        <f t="shared" si="10"/>
        <v>4005</v>
      </c>
      <c r="N255">
        <f t="shared" si="11"/>
        <v>4005</v>
      </c>
    </row>
    <row r="256" spans="1:14">
      <c r="A256" t="s">
        <v>825</v>
      </c>
      <c r="B256" t="s">
        <v>826</v>
      </c>
      <c r="C256" t="s">
        <v>827</v>
      </c>
      <c r="D256" t="s">
        <v>828</v>
      </c>
      <c r="E256" t="s">
        <v>18</v>
      </c>
      <c r="F256">
        <v>95482</v>
      </c>
      <c r="I256" t="s">
        <v>526</v>
      </c>
      <c r="K256">
        <v>1.25</v>
      </c>
      <c r="L256">
        <f t="shared" si="12"/>
        <v>1.25</v>
      </c>
      <c r="M256">
        <f t="shared" si="10"/>
        <v>0</v>
      </c>
      <c r="N256">
        <f t="shared" si="11"/>
        <v>0</v>
      </c>
    </row>
    <row r="257" spans="1:14">
      <c r="A257" t="s">
        <v>14</v>
      </c>
      <c r="B257" t="s">
        <v>829</v>
      </c>
      <c r="C257" t="s">
        <v>830</v>
      </c>
      <c r="D257" t="s">
        <v>831</v>
      </c>
      <c r="E257" t="s">
        <v>18</v>
      </c>
      <c r="F257">
        <v>93308</v>
      </c>
      <c r="G257">
        <v>6490</v>
      </c>
      <c r="H257">
        <v>6490</v>
      </c>
      <c r="I257" t="s">
        <v>832</v>
      </c>
      <c r="J257">
        <f>K257/12</f>
        <v>1.54166666666667</v>
      </c>
      <c r="K257">
        <v>18.5</v>
      </c>
      <c r="L257">
        <f t="shared" si="12"/>
        <v>1.54166666666667</v>
      </c>
      <c r="M257">
        <f t="shared" si="10"/>
        <v>6490</v>
      </c>
      <c r="N257">
        <f t="shared" si="11"/>
        <v>120065</v>
      </c>
    </row>
    <row r="258" spans="1:14">
      <c r="A258" t="s">
        <v>14</v>
      </c>
      <c r="B258" t="s">
        <v>833</v>
      </c>
      <c r="C258" t="s">
        <v>834</v>
      </c>
      <c r="D258" t="s">
        <v>835</v>
      </c>
      <c r="E258" t="s">
        <v>18</v>
      </c>
      <c r="F258">
        <v>91803</v>
      </c>
      <c r="G258">
        <v>30</v>
      </c>
      <c r="H258">
        <v>2142</v>
      </c>
      <c r="I258" t="s">
        <v>836</v>
      </c>
      <c r="K258">
        <v>2.875</v>
      </c>
      <c r="L258">
        <f t="shared" si="12"/>
        <v>2.875</v>
      </c>
      <c r="M258">
        <f t="shared" si="10"/>
        <v>1086</v>
      </c>
      <c r="N258">
        <f t="shared" si="11"/>
        <v>3122.25</v>
      </c>
    </row>
    <row r="259" spans="1:14">
      <c r="A259" t="s">
        <v>14</v>
      </c>
      <c r="B259" t="s">
        <v>837</v>
      </c>
      <c r="C259" t="s">
        <v>838</v>
      </c>
      <c r="D259" t="s">
        <v>839</v>
      </c>
      <c r="E259" t="s">
        <v>18</v>
      </c>
      <c r="F259">
        <v>90042</v>
      </c>
      <c r="G259">
        <v>4138</v>
      </c>
      <c r="H259">
        <v>4138</v>
      </c>
      <c r="I259" t="s">
        <v>840</v>
      </c>
      <c r="K259">
        <v>4.16</v>
      </c>
      <c r="L259">
        <f t="shared" si="12"/>
        <v>4.16</v>
      </c>
      <c r="M259">
        <f t="shared" ref="M259:M322" si="13">(G259+H259)/2</f>
        <v>4138</v>
      </c>
      <c r="N259">
        <f t="shared" ref="N259:N322" si="14">M259*K259</f>
        <v>17214.08</v>
      </c>
    </row>
    <row r="260" spans="1:14">
      <c r="A260" t="s">
        <v>25</v>
      </c>
      <c r="B260" t="s">
        <v>841</v>
      </c>
      <c r="C260" t="s">
        <v>842</v>
      </c>
      <c r="D260" t="s">
        <v>843</v>
      </c>
      <c r="E260" t="s">
        <v>18</v>
      </c>
      <c r="F260">
        <v>93401</v>
      </c>
      <c r="G260">
        <v>6500</v>
      </c>
      <c r="H260">
        <v>6500</v>
      </c>
      <c r="I260" t="s">
        <v>844</v>
      </c>
      <c r="K260">
        <v>2.625</v>
      </c>
      <c r="L260">
        <f t="shared" si="12"/>
        <v>2.625</v>
      </c>
      <c r="M260">
        <f t="shared" si="13"/>
        <v>6500</v>
      </c>
      <c r="N260">
        <f t="shared" si="14"/>
        <v>17062.5</v>
      </c>
    </row>
    <row r="261" spans="1:14">
      <c r="A261" t="s">
        <v>14</v>
      </c>
      <c r="B261" t="s">
        <v>845</v>
      </c>
      <c r="C261" t="s">
        <v>846</v>
      </c>
      <c r="D261" t="s">
        <v>847</v>
      </c>
      <c r="E261" t="s">
        <v>18</v>
      </c>
      <c r="F261">
        <v>95124</v>
      </c>
      <c r="G261">
        <v>464</v>
      </c>
      <c r="H261">
        <v>1470</v>
      </c>
      <c r="I261" t="s">
        <v>559</v>
      </c>
      <c r="K261">
        <v>2.1</v>
      </c>
      <c r="L261">
        <f t="shared" si="12"/>
        <v>2.1</v>
      </c>
      <c r="M261">
        <f t="shared" si="13"/>
        <v>967</v>
      </c>
      <c r="N261">
        <f t="shared" si="14"/>
        <v>2030.7</v>
      </c>
    </row>
    <row r="262" spans="1:14">
      <c r="A262" t="s">
        <v>14</v>
      </c>
      <c r="B262" t="s">
        <v>848</v>
      </c>
      <c r="C262" t="s">
        <v>849</v>
      </c>
      <c r="D262" t="s">
        <v>850</v>
      </c>
      <c r="E262" t="s">
        <v>18</v>
      </c>
      <c r="F262">
        <v>93304</v>
      </c>
      <c r="G262">
        <v>4168</v>
      </c>
      <c r="H262">
        <v>4168</v>
      </c>
      <c r="I262" t="s">
        <v>851</v>
      </c>
      <c r="J262">
        <f>K262/12</f>
        <v>0.125</v>
      </c>
      <c r="K262">
        <v>1.5</v>
      </c>
      <c r="L262">
        <f t="shared" ref="L262:L325" si="15">IF(J262="",K262,J262)</f>
        <v>0.125</v>
      </c>
      <c r="M262">
        <f t="shared" si="13"/>
        <v>4168</v>
      </c>
      <c r="N262">
        <f t="shared" si="14"/>
        <v>6252</v>
      </c>
    </row>
    <row r="263" spans="1:14">
      <c r="A263" t="s">
        <v>14</v>
      </c>
      <c r="B263" t="s">
        <v>852</v>
      </c>
      <c r="C263" t="s">
        <v>853</v>
      </c>
      <c r="D263" t="s">
        <v>854</v>
      </c>
      <c r="E263" t="s">
        <v>18</v>
      </c>
      <c r="F263">
        <v>95811</v>
      </c>
      <c r="G263">
        <v>1900</v>
      </c>
      <c r="H263">
        <v>1900</v>
      </c>
      <c r="I263" t="s">
        <v>855</v>
      </c>
      <c r="J263">
        <f>K263/12</f>
        <v>0.166666666666667</v>
      </c>
      <c r="K263">
        <v>2</v>
      </c>
      <c r="L263">
        <f t="shared" si="15"/>
        <v>0.166666666666667</v>
      </c>
      <c r="M263">
        <f t="shared" si="13"/>
        <v>1900</v>
      </c>
      <c r="N263">
        <f t="shared" si="14"/>
        <v>3800</v>
      </c>
    </row>
    <row r="264" spans="1:14">
      <c r="B264" t="s">
        <v>856</v>
      </c>
      <c r="C264" t="s">
        <v>857</v>
      </c>
      <c r="D264" t="s">
        <v>858</v>
      </c>
      <c r="E264" t="s">
        <v>18</v>
      </c>
      <c r="F264">
        <v>92865</v>
      </c>
      <c r="I264" t="s">
        <v>859</v>
      </c>
      <c r="J264">
        <f>K264/12</f>
        <v>3</v>
      </c>
      <c r="K264">
        <v>36</v>
      </c>
      <c r="L264">
        <f t="shared" si="15"/>
        <v>3</v>
      </c>
      <c r="M264">
        <f t="shared" si="13"/>
        <v>0</v>
      </c>
      <c r="N264">
        <f t="shared" si="14"/>
        <v>0</v>
      </c>
    </row>
    <row r="265" spans="1:14">
      <c r="A265" t="s">
        <v>14</v>
      </c>
      <c r="B265" t="s">
        <v>860</v>
      </c>
      <c r="C265" t="s">
        <v>861</v>
      </c>
      <c r="D265" t="s">
        <v>862</v>
      </c>
      <c r="E265" t="s">
        <v>18</v>
      </c>
      <c r="F265">
        <v>90026</v>
      </c>
      <c r="G265">
        <v>7122</v>
      </c>
      <c r="H265">
        <v>7122</v>
      </c>
      <c r="I265" t="s">
        <v>863</v>
      </c>
      <c r="J265">
        <f>K265/12</f>
        <v>0.1875</v>
      </c>
      <c r="K265">
        <v>2.25</v>
      </c>
      <c r="L265">
        <f t="shared" si="15"/>
        <v>0.1875</v>
      </c>
      <c r="M265">
        <f t="shared" si="13"/>
        <v>7122</v>
      </c>
      <c r="N265">
        <f t="shared" si="14"/>
        <v>16024.5</v>
      </c>
    </row>
    <row r="266" spans="1:14">
      <c r="A266" t="s">
        <v>14</v>
      </c>
      <c r="B266" t="s">
        <v>864</v>
      </c>
      <c r="C266" t="s">
        <v>865</v>
      </c>
      <c r="D266" t="s">
        <v>866</v>
      </c>
      <c r="E266" t="s">
        <v>18</v>
      </c>
      <c r="F266">
        <v>90004</v>
      </c>
      <c r="G266">
        <v>1473</v>
      </c>
      <c r="H266">
        <v>1473</v>
      </c>
      <c r="I266" t="s">
        <v>867</v>
      </c>
      <c r="K266">
        <v>4.07</v>
      </c>
      <c r="L266">
        <f t="shared" si="15"/>
        <v>4.07</v>
      </c>
      <c r="M266">
        <f t="shared" si="13"/>
        <v>1473</v>
      </c>
      <c r="N266">
        <f t="shared" si="14"/>
        <v>5995.11</v>
      </c>
    </row>
    <row r="267" spans="1:14">
      <c r="A267" t="s">
        <v>14</v>
      </c>
      <c r="B267" t="s">
        <v>868</v>
      </c>
      <c r="C267" t="s">
        <v>869</v>
      </c>
      <c r="D267" t="s">
        <v>613</v>
      </c>
      <c r="E267" t="s">
        <v>18</v>
      </c>
      <c r="F267">
        <v>90037</v>
      </c>
      <c r="G267">
        <v>1800</v>
      </c>
      <c r="H267">
        <v>1800</v>
      </c>
      <c r="I267" t="s">
        <v>150</v>
      </c>
      <c r="K267">
        <v>3</v>
      </c>
      <c r="L267">
        <f t="shared" si="15"/>
        <v>3</v>
      </c>
      <c r="M267">
        <f t="shared" si="13"/>
        <v>1800</v>
      </c>
      <c r="N267">
        <f t="shared" si="14"/>
        <v>5400</v>
      </c>
    </row>
    <row r="268" spans="1:14">
      <c r="A268" t="s">
        <v>14</v>
      </c>
      <c r="B268" t="s">
        <v>870</v>
      </c>
      <c r="C268" t="s">
        <v>871</v>
      </c>
      <c r="D268" t="s">
        <v>872</v>
      </c>
      <c r="E268" t="s">
        <v>18</v>
      </c>
      <c r="F268">
        <v>94539</v>
      </c>
      <c r="G268">
        <v>1587</v>
      </c>
      <c r="H268">
        <v>4003</v>
      </c>
      <c r="I268" t="s">
        <v>873</v>
      </c>
      <c r="J268">
        <f>K268/12</f>
        <v>5</v>
      </c>
      <c r="K268">
        <v>60</v>
      </c>
      <c r="L268">
        <f t="shared" si="15"/>
        <v>5</v>
      </c>
      <c r="M268">
        <f t="shared" si="13"/>
        <v>2795</v>
      </c>
      <c r="N268">
        <f t="shared" si="14"/>
        <v>167700</v>
      </c>
    </row>
    <row r="269" spans="1:14">
      <c r="A269" t="s">
        <v>25</v>
      </c>
      <c r="B269" t="s">
        <v>874</v>
      </c>
      <c r="C269" t="s">
        <v>875</v>
      </c>
      <c r="D269" t="s">
        <v>656</v>
      </c>
      <c r="E269" t="s">
        <v>18</v>
      </c>
      <c r="F269">
        <v>90015</v>
      </c>
      <c r="G269">
        <v>2137</v>
      </c>
      <c r="H269">
        <v>2137</v>
      </c>
      <c r="I269" t="s">
        <v>418</v>
      </c>
      <c r="K269">
        <v>5.5</v>
      </c>
      <c r="L269">
        <f t="shared" si="15"/>
        <v>5.5</v>
      </c>
      <c r="M269">
        <f t="shared" si="13"/>
        <v>2137</v>
      </c>
      <c r="N269">
        <f t="shared" si="14"/>
        <v>11753.5</v>
      </c>
    </row>
    <row r="270" spans="1:14">
      <c r="A270" t="s">
        <v>14</v>
      </c>
      <c r="B270" t="s">
        <v>876</v>
      </c>
      <c r="C270" t="s">
        <v>877</v>
      </c>
      <c r="D270" t="s">
        <v>878</v>
      </c>
      <c r="E270" t="s">
        <v>18</v>
      </c>
      <c r="F270">
        <v>93458</v>
      </c>
      <c r="G270">
        <v>5250</v>
      </c>
      <c r="H270">
        <v>11950</v>
      </c>
      <c r="I270" t="s">
        <v>879</v>
      </c>
      <c r="K270">
        <v>1.7</v>
      </c>
      <c r="L270">
        <f t="shared" si="15"/>
        <v>1.7</v>
      </c>
      <c r="M270">
        <f t="shared" si="13"/>
        <v>8600</v>
      </c>
      <c r="N270">
        <f t="shared" si="14"/>
        <v>14620</v>
      </c>
    </row>
    <row r="271" spans="1:14">
      <c r="A271" t="s">
        <v>14</v>
      </c>
      <c r="B271" t="s">
        <v>880</v>
      </c>
      <c r="C271" t="s">
        <v>881</v>
      </c>
      <c r="D271" t="s">
        <v>862</v>
      </c>
      <c r="E271" t="s">
        <v>18</v>
      </c>
      <c r="F271">
        <v>90057</v>
      </c>
      <c r="G271">
        <v>790</v>
      </c>
      <c r="H271">
        <v>2952</v>
      </c>
      <c r="I271" t="s">
        <v>882</v>
      </c>
      <c r="J271">
        <f>K271/12</f>
        <v>2.75</v>
      </c>
      <c r="K271">
        <v>33</v>
      </c>
      <c r="L271">
        <f t="shared" si="15"/>
        <v>2.75</v>
      </c>
      <c r="M271">
        <f t="shared" si="13"/>
        <v>1871</v>
      </c>
      <c r="N271">
        <f t="shared" si="14"/>
        <v>61743</v>
      </c>
    </row>
    <row r="272" spans="1:14">
      <c r="A272" t="s">
        <v>14</v>
      </c>
      <c r="B272" t="s">
        <v>883</v>
      </c>
      <c r="C272" t="s">
        <v>884</v>
      </c>
      <c r="D272" t="s">
        <v>43</v>
      </c>
      <c r="E272" t="s">
        <v>18</v>
      </c>
      <c r="F272">
        <v>92284</v>
      </c>
      <c r="G272">
        <v>1340</v>
      </c>
      <c r="H272">
        <v>1440</v>
      </c>
      <c r="I272" t="s">
        <v>885</v>
      </c>
      <c r="K272">
        <v>1.725</v>
      </c>
      <c r="L272">
        <f t="shared" si="15"/>
        <v>1.725</v>
      </c>
      <c r="M272">
        <f t="shared" si="13"/>
        <v>1390</v>
      </c>
      <c r="N272">
        <f t="shared" si="14"/>
        <v>2397.75</v>
      </c>
    </row>
    <row r="273" spans="1:14">
      <c r="A273" t="s">
        <v>14</v>
      </c>
      <c r="B273" t="s">
        <v>886</v>
      </c>
      <c r="C273" t="s">
        <v>887</v>
      </c>
      <c r="D273" t="s">
        <v>258</v>
      </c>
      <c r="E273" t="s">
        <v>18</v>
      </c>
      <c r="F273">
        <v>93309</v>
      </c>
      <c r="G273">
        <v>2370</v>
      </c>
      <c r="H273">
        <v>3741</v>
      </c>
      <c r="I273" t="s">
        <v>888</v>
      </c>
      <c r="K273">
        <v>1.925</v>
      </c>
      <c r="L273">
        <f t="shared" si="15"/>
        <v>1.925</v>
      </c>
      <c r="M273">
        <f t="shared" si="13"/>
        <v>3055.5</v>
      </c>
      <c r="N273">
        <f t="shared" si="14"/>
        <v>5881.8375</v>
      </c>
    </row>
    <row r="274" spans="1:14">
      <c r="B274" t="s">
        <v>889</v>
      </c>
      <c r="C274" t="s">
        <v>890</v>
      </c>
      <c r="D274" t="s">
        <v>891</v>
      </c>
      <c r="E274" t="s">
        <v>18</v>
      </c>
      <c r="F274">
        <v>93010</v>
      </c>
      <c r="I274" t="s">
        <v>677</v>
      </c>
      <c r="K274">
        <v>3.25</v>
      </c>
      <c r="L274">
        <f t="shared" si="15"/>
        <v>3.25</v>
      </c>
      <c r="M274">
        <f t="shared" si="13"/>
        <v>0</v>
      </c>
      <c r="N274">
        <f t="shared" si="14"/>
        <v>0</v>
      </c>
    </row>
    <row r="275" spans="1:14">
      <c r="A275" t="s">
        <v>25</v>
      </c>
      <c r="B275" t="s">
        <v>892</v>
      </c>
      <c r="C275" t="s">
        <v>893</v>
      </c>
      <c r="D275" t="s">
        <v>894</v>
      </c>
      <c r="E275" t="s">
        <v>18</v>
      </c>
      <c r="F275">
        <v>90071</v>
      </c>
      <c r="G275">
        <v>540</v>
      </c>
      <c r="H275">
        <v>27590</v>
      </c>
      <c r="I275" t="s">
        <v>601</v>
      </c>
      <c r="K275">
        <v>3</v>
      </c>
      <c r="L275">
        <f t="shared" si="15"/>
        <v>3</v>
      </c>
      <c r="M275">
        <f t="shared" si="13"/>
        <v>14065</v>
      </c>
      <c r="N275">
        <f t="shared" si="14"/>
        <v>42195</v>
      </c>
    </row>
    <row r="276" spans="1:14">
      <c r="A276" t="s">
        <v>25</v>
      </c>
      <c r="B276" t="s">
        <v>895</v>
      </c>
      <c r="C276" t="s">
        <v>896</v>
      </c>
      <c r="D276" t="s">
        <v>897</v>
      </c>
      <c r="E276" t="s">
        <v>18</v>
      </c>
      <c r="F276">
        <v>90501</v>
      </c>
      <c r="G276">
        <v>2620</v>
      </c>
      <c r="H276">
        <v>2620</v>
      </c>
      <c r="I276" t="s">
        <v>223</v>
      </c>
      <c r="K276">
        <v>3.25</v>
      </c>
      <c r="L276">
        <f t="shared" si="15"/>
        <v>3.25</v>
      </c>
      <c r="M276">
        <f t="shared" si="13"/>
        <v>2620</v>
      </c>
      <c r="N276">
        <f t="shared" si="14"/>
        <v>8515</v>
      </c>
    </row>
    <row r="277" spans="1:14">
      <c r="A277" t="s">
        <v>14</v>
      </c>
      <c r="B277" t="s">
        <v>898</v>
      </c>
      <c r="C277" t="s">
        <v>695</v>
      </c>
      <c r="D277" t="s">
        <v>68</v>
      </c>
      <c r="E277" t="s">
        <v>18</v>
      </c>
      <c r="F277">
        <v>90015</v>
      </c>
      <c r="G277">
        <v>1813</v>
      </c>
      <c r="H277">
        <v>18113</v>
      </c>
      <c r="I277" t="s">
        <v>200</v>
      </c>
      <c r="K277">
        <v>2.5</v>
      </c>
      <c r="L277">
        <f t="shared" si="15"/>
        <v>2.5</v>
      </c>
      <c r="M277">
        <f t="shared" si="13"/>
        <v>9963</v>
      </c>
      <c r="N277">
        <f t="shared" si="14"/>
        <v>24907.5</v>
      </c>
    </row>
    <row r="278" spans="1:14">
      <c r="A278" t="s">
        <v>14</v>
      </c>
      <c r="B278" t="s">
        <v>899</v>
      </c>
      <c r="C278" t="s">
        <v>900</v>
      </c>
      <c r="D278" t="s">
        <v>901</v>
      </c>
      <c r="E278" t="s">
        <v>18</v>
      </c>
      <c r="F278">
        <v>93021</v>
      </c>
      <c r="G278">
        <v>1160</v>
      </c>
      <c r="H278">
        <v>2170</v>
      </c>
      <c r="I278" t="s">
        <v>902</v>
      </c>
      <c r="J278">
        <f>K278/12</f>
        <v>1.77</v>
      </c>
      <c r="K278">
        <v>21.24</v>
      </c>
      <c r="L278">
        <f t="shared" si="15"/>
        <v>1.77</v>
      </c>
      <c r="M278">
        <f t="shared" si="13"/>
        <v>1665</v>
      </c>
      <c r="N278">
        <f t="shared" si="14"/>
        <v>35364.6</v>
      </c>
    </row>
    <row r="279" spans="1:14">
      <c r="A279" t="s">
        <v>25</v>
      </c>
      <c r="B279" t="s">
        <v>903</v>
      </c>
      <c r="C279" t="s">
        <v>904</v>
      </c>
      <c r="D279" t="s">
        <v>241</v>
      </c>
      <c r="E279" t="s">
        <v>18</v>
      </c>
      <c r="F279">
        <v>90010</v>
      </c>
      <c r="G279">
        <v>10837</v>
      </c>
      <c r="H279">
        <v>10837</v>
      </c>
      <c r="I279" t="s">
        <v>418</v>
      </c>
      <c r="K279">
        <v>5.5</v>
      </c>
      <c r="L279">
        <f t="shared" si="15"/>
        <v>5.5</v>
      </c>
      <c r="M279">
        <f t="shared" si="13"/>
        <v>10837</v>
      </c>
      <c r="N279">
        <f t="shared" si="14"/>
        <v>59603.5</v>
      </c>
    </row>
    <row r="280" spans="1:14">
      <c r="A280" t="s">
        <v>25</v>
      </c>
      <c r="B280" t="s">
        <v>905</v>
      </c>
      <c r="C280" t="s">
        <v>284</v>
      </c>
      <c r="D280" t="s">
        <v>906</v>
      </c>
      <c r="E280" t="s">
        <v>18</v>
      </c>
      <c r="F280">
        <v>92262</v>
      </c>
      <c r="I280" t="s">
        <v>60</v>
      </c>
      <c r="K280">
        <v>1.75</v>
      </c>
      <c r="L280">
        <f t="shared" si="15"/>
        <v>1.75</v>
      </c>
      <c r="M280">
        <f t="shared" si="13"/>
        <v>0</v>
      </c>
      <c r="N280">
        <f t="shared" si="14"/>
        <v>0</v>
      </c>
    </row>
    <row r="281" spans="1:14">
      <c r="A281" t="s">
        <v>14</v>
      </c>
      <c r="B281" t="s">
        <v>907</v>
      </c>
      <c r="C281" t="s">
        <v>714</v>
      </c>
      <c r="D281" t="s">
        <v>908</v>
      </c>
      <c r="E281" t="s">
        <v>18</v>
      </c>
      <c r="F281">
        <v>90033</v>
      </c>
      <c r="G281">
        <v>1246</v>
      </c>
      <c r="H281">
        <v>1886</v>
      </c>
      <c r="I281" t="s">
        <v>271</v>
      </c>
      <c r="K281">
        <v>3.875</v>
      </c>
      <c r="L281">
        <f t="shared" si="15"/>
        <v>3.875</v>
      </c>
      <c r="M281">
        <f t="shared" si="13"/>
        <v>1566</v>
      </c>
      <c r="N281">
        <f t="shared" si="14"/>
        <v>6068.25</v>
      </c>
    </row>
    <row r="282" spans="1:14">
      <c r="B282" t="s">
        <v>909</v>
      </c>
      <c r="C282" t="s">
        <v>910</v>
      </c>
      <c r="D282" t="s">
        <v>911</v>
      </c>
      <c r="E282" t="s">
        <v>18</v>
      </c>
      <c r="F282">
        <v>93101</v>
      </c>
      <c r="I282" t="s">
        <v>912</v>
      </c>
      <c r="K282">
        <v>2.535</v>
      </c>
      <c r="L282">
        <f t="shared" si="15"/>
        <v>2.535</v>
      </c>
      <c r="M282">
        <f t="shared" si="13"/>
        <v>0</v>
      </c>
      <c r="N282">
        <f t="shared" si="14"/>
        <v>0</v>
      </c>
    </row>
    <row r="283" spans="1:14">
      <c r="A283" t="s">
        <v>14</v>
      </c>
      <c r="B283" t="s">
        <v>913</v>
      </c>
      <c r="C283" t="s">
        <v>914</v>
      </c>
      <c r="D283" t="s">
        <v>854</v>
      </c>
      <c r="E283" t="s">
        <v>18</v>
      </c>
      <c r="F283">
        <v>95814</v>
      </c>
      <c r="G283">
        <v>989</v>
      </c>
      <c r="H283">
        <v>9254</v>
      </c>
      <c r="I283" t="s">
        <v>330</v>
      </c>
      <c r="K283">
        <v>2.25</v>
      </c>
      <c r="L283">
        <f t="shared" si="15"/>
        <v>2.25</v>
      </c>
      <c r="M283">
        <f t="shared" si="13"/>
        <v>5121.5</v>
      </c>
      <c r="N283">
        <f t="shared" si="14"/>
        <v>11523.375</v>
      </c>
    </row>
    <row r="284" spans="1:14">
      <c r="A284" t="s">
        <v>414</v>
      </c>
      <c r="B284" t="s">
        <v>915</v>
      </c>
      <c r="C284" t="s">
        <v>916</v>
      </c>
      <c r="D284" t="s">
        <v>417</v>
      </c>
      <c r="E284" t="s">
        <v>18</v>
      </c>
      <c r="F284">
        <v>91361</v>
      </c>
      <c r="I284" t="s">
        <v>917</v>
      </c>
      <c r="K284">
        <v>5</v>
      </c>
      <c r="L284">
        <f t="shared" si="15"/>
        <v>5</v>
      </c>
      <c r="M284">
        <f t="shared" si="13"/>
        <v>0</v>
      </c>
      <c r="N284">
        <f t="shared" si="14"/>
        <v>0</v>
      </c>
    </row>
    <row r="285" spans="1:14">
      <c r="A285" t="s">
        <v>25</v>
      </c>
      <c r="B285" t="s">
        <v>918</v>
      </c>
      <c r="C285" t="s">
        <v>919</v>
      </c>
      <c r="D285" t="s">
        <v>920</v>
      </c>
      <c r="E285" t="s">
        <v>18</v>
      </c>
      <c r="F285">
        <v>95688</v>
      </c>
      <c r="G285">
        <v>1080</v>
      </c>
      <c r="H285">
        <v>1080</v>
      </c>
      <c r="I285" t="s">
        <v>169</v>
      </c>
      <c r="K285">
        <v>2.25</v>
      </c>
      <c r="L285">
        <f t="shared" si="15"/>
        <v>2.25</v>
      </c>
      <c r="M285">
        <f t="shared" si="13"/>
        <v>1080</v>
      </c>
      <c r="N285">
        <f t="shared" si="14"/>
        <v>2430</v>
      </c>
    </row>
    <row r="286" spans="1:14">
      <c r="A286" t="s">
        <v>14</v>
      </c>
      <c r="B286" t="s">
        <v>921</v>
      </c>
      <c r="C286" t="s">
        <v>922</v>
      </c>
      <c r="D286" t="s">
        <v>923</v>
      </c>
      <c r="E286" t="s">
        <v>18</v>
      </c>
      <c r="F286">
        <v>93401</v>
      </c>
      <c r="G286">
        <v>1000</v>
      </c>
      <c r="H286">
        <v>2840</v>
      </c>
      <c r="I286" t="s">
        <v>924</v>
      </c>
      <c r="J286">
        <f>K286/12</f>
        <v>0.1375</v>
      </c>
      <c r="K286">
        <v>1.65</v>
      </c>
      <c r="L286">
        <f t="shared" si="15"/>
        <v>0.1375</v>
      </c>
      <c r="M286">
        <f t="shared" si="13"/>
        <v>1920</v>
      </c>
      <c r="N286">
        <f t="shared" si="14"/>
        <v>3168</v>
      </c>
    </row>
    <row r="287" spans="1:14">
      <c r="A287" t="s">
        <v>14</v>
      </c>
      <c r="B287" t="s">
        <v>925</v>
      </c>
      <c r="C287" t="s">
        <v>926</v>
      </c>
      <c r="D287" t="s">
        <v>927</v>
      </c>
      <c r="E287" t="s">
        <v>18</v>
      </c>
      <c r="F287">
        <v>93662</v>
      </c>
      <c r="G287">
        <v>1100</v>
      </c>
      <c r="H287">
        <v>1100</v>
      </c>
      <c r="I287" t="s">
        <v>169</v>
      </c>
      <c r="K287">
        <v>2.25</v>
      </c>
      <c r="L287">
        <f t="shared" si="15"/>
        <v>2.25</v>
      </c>
      <c r="M287">
        <f t="shared" si="13"/>
        <v>1100</v>
      </c>
      <c r="N287">
        <f t="shared" si="14"/>
        <v>2475</v>
      </c>
    </row>
    <row r="288" spans="1:14">
      <c r="B288" t="s">
        <v>928</v>
      </c>
      <c r="C288" t="s">
        <v>929</v>
      </c>
      <c r="D288" t="s">
        <v>930</v>
      </c>
      <c r="E288" t="s">
        <v>18</v>
      </c>
      <c r="F288">
        <v>90277</v>
      </c>
      <c r="I288" t="s">
        <v>200</v>
      </c>
      <c r="K288">
        <v>2.5</v>
      </c>
      <c r="L288">
        <f t="shared" si="15"/>
        <v>2.5</v>
      </c>
      <c r="M288">
        <f t="shared" si="13"/>
        <v>0</v>
      </c>
      <c r="N288">
        <f t="shared" si="14"/>
        <v>0</v>
      </c>
    </row>
    <row r="289" spans="1:14">
      <c r="A289" t="s">
        <v>14</v>
      </c>
      <c r="B289" t="s">
        <v>931</v>
      </c>
      <c r="C289" t="s">
        <v>932</v>
      </c>
      <c r="D289" t="s">
        <v>305</v>
      </c>
      <c r="E289" t="s">
        <v>18</v>
      </c>
      <c r="F289">
        <v>93711</v>
      </c>
      <c r="G289">
        <v>1965</v>
      </c>
      <c r="H289">
        <v>5418</v>
      </c>
      <c r="I289" t="s">
        <v>725</v>
      </c>
      <c r="J289">
        <f>K289/12</f>
        <v>1.85</v>
      </c>
      <c r="K289">
        <v>22.2</v>
      </c>
      <c r="L289">
        <f t="shared" si="15"/>
        <v>1.85</v>
      </c>
      <c r="M289">
        <f t="shared" si="13"/>
        <v>3691.5</v>
      </c>
      <c r="N289">
        <f t="shared" si="14"/>
        <v>81951.3</v>
      </c>
    </row>
    <row r="290" spans="1:14">
      <c r="B290" t="s">
        <v>933</v>
      </c>
      <c r="C290" t="s">
        <v>934</v>
      </c>
      <c r="D290" t="s">
        <v>935</v>
      </c>
      <c r="E290" t="s">
        <v>18</v>
      </c>
      <c r="F290">
        <v>93101</v>
      </c>
      <c r="I290" t="s">
        <v>936</v>
      </c>
      <c r="K290">
        <v>6.25</v>
      </c>
      <c r="L290">
        <f t="shared" si="15"/>
        <v>6.25</v>
      </c>
      <c r="M290">
        <f t="shared" si="13"/>
        <v>0</v>
      </c>
      <c r="N290">
        <f t="shared" si="14"/>
        <v>0</v>
      </c>
    </row>
    <row r="291" spans="1:14">
      <c r="A291" t="s">
        <v>14</v>
      </c>
      <c r="B291" t="s">
        <v>937</v>
      </c>
      <c r="C291" t="s">
        <v>938</v>
      </c>
      <c r="D291" t="s">
        <v>226</v>
      </c>
      <c r="E291" t="s">
        <v>18</v>
      </c>
      <c r="F291">
        <v>90012</v>
      </c>
      <c r="G291">
        <v>643</v>
      </c>
      <c r="H291">
        <v>6329</v>
      </c>
      <c r="I291" t="s">
        <v>939</v>
      </c>
      <c r="K291">
        <v>3.2</v>
      </c>
      <c r="L291">
        <f t="shared" si="15"/>
        <v>3.2</v>
      </c>
      <c r="M291">
        <f t="shared" si="13"/>
        <v>3486</v>
      </c>
      <c r="N291">
        <f t="shared" si="14"/>
        <v>11155.2</v>
      </c>
    </row>
    <row r="292" spans="1:14">
      <c r="A292" t="s">
        <v>14</v>
      </c>
      <c r="B292" t="s">
        <v>940</v>
      </c>
      <c r="C292" t="s">
        <v>941</v>
      </c>
      <c r="D292" t="s">
        <v>72</v>
      </c>
      <c r="E292" t="s">
        <v>18</v>
      </c>
      <c r="F292">
        <v>90017</v>
      </c>
      <c r="G292">
        <v>1200</v>
      </c>
      <c r="H292">
        <v>27888</v>
      </c>
      <c r="I292" t="s">
        <v>286</v>
      </c>
      <c r="K292">
        <v>4</v>
      </c>
      <c r="L292">
        <f t="shared" si="15"/>
        <v>4</v>
      </c>
      <c r="M292">
        <f t="shared" si="13"/>
        <v>14544</v>
      </c>
      <c r="N292">
        <f t="shared" si="14"/>
        <v>58176</v>
      </c>
    </row>
    <row r="293" spans="1:14">
      <c r="B293" t="s">
        <v>942</v>
      </c>
      <c r="C293" t="s">
        <v>943</v>
      </c>
      <c r="D293" t="s">
        <v>507</v>
      </c>
      <c r="E293" t="s">
        <v>18</v>
      </c>
      <c r="F293">
        <v>95814</v>
      </c>
      <c r="I293" t="s">
        <v>37</v>
      </c>
      <c r="K293">
        <v>1</v>
      </c>
      <c r="L293">
        <f t="shared" si="15"/>
        <v>1</v>
      </c>
      <c r="M293">
        <f t="shared" si="13"/>
        <v>0</v>
      </c>
      <c r="N293">
        <f t="shared" si="14"/>
        <v>0</v>
      </c>
    </row>
    <row r="294" spans="1:14">
      <c r="B294" t="s">
        <v>944</v>
      </c>
      <c r="C294" t="s">
        <v>945</v>
      </c>
      <c r="D294" t="s">
        <v>946</v>
      </c>
      <c r="E294" t="s">
        <v>18</v>
      </c>
      <c r="F294">
        <v>95762</v>
      </c>
      <c r="I294" t="s">
        <v>947</v>
      </c>
      <c r="K294">
        <v>3.75</v>
      </c>
      <c r="L294">
        <f t="shared" si="15"/>
        <v>3.75</v>
      </c>
      <c r="M294">
        <f t="shared" si="13"/>
        <v>0</v>
      </c>
      <c r="N294">
        <f t="shared" si="14"/>
        <v>0</v>
      </c>
    </row>
    <row r="295" spans="1:14">
      <c r="A295" t="s">
        <v>14</v>
      </c>
      <c r="B295" t="s">
        <v>948</v>
      </c>
      <c r="C295" t="s">
        <v>949</v>
      </c>
      <c r="D295" t="s">
        <v>950</v>
      </c>
      <c r="E295" t="s">
        <v>18</v>
      </c>
      <c r="F295">
        <v>91303</v>
      </c>
      <c r="G295">
        <v>487</v>
      </c>
      <c r="H295">
        <v>4318</v>
      </c>
      <c r="I295" t="s">
        <v>951</v>
      </c>
      <c r="K295">
        <v>2.17</v>
      </c>
      <c r="L295">
        <f t="shared" si="15"/>
        <v>2.17</v>
      </c>
      <c r="M295">
        <f t="shared" si="13"/>
        <v>2402.5</v>
      </c>
      <c r="N295">
        <f t="shared" si="14"/>
        <v>5213.425</v>
      </c>
    </row>
    <row r="296" spans="1:14">
      <c r="A296" t="s">
        <v>952</v>
      </c>
      <c r="B296" t="s">
        <v>953</v>
      </c>
      <c r="C296" t="s">
        <v>954</v>
      </c>
      <c r="D296" t="s">
        <v>955</v>
      </c>
      <c r="E296" t="s">
        <v>18</v>
      </c>
      <c r="F296">
        <v>91767</v>
      </c>
      <c r="I296" t="s">
        <v>956</v>
      </c>
      <c r="J296">
        <f>K296/12</f>
        <v>1.25</v>
      </c>
      <c r="K296">
        <v>15</v>
      </c>
      <c r="L296">
        <f t="shared" si="15"/>
        <v>1.25</v>
      </c>
      <c r="M296">
        <f t="shared" si="13"/>
        <v>0</v>
      </c>
      <c r="N296">
        <f t="shared" si="14"/>
        <v>0</v>
      </c>
    </row>
    <row r="297" spans="1:14">
      <c r="A297" t="s">
        <v>14</v>
      </c>
      <c r="B297" t="s">
        <v>957</v>
      </c>
      <c r="C297" t="s">
        <v>958</v>
      </c>
      <c r="D297" t="s">
        <v>959</v>
      </c>
      <c r="E297" t="s">
        <v>18</v>
      </c>
      <c r="F297">
        <v>93703</v>
      </c>
      <c r="G297">
        <v>955</v>
      </c>
      <c r="H297">
        <v>1702</v>
      </c>
      <c r="I297" t="s">
        <v>960</v>
      </c>
      <c r="K297">
        <v>101.016666666667</v>
      </c>
      <c r="L297">
        <f t="shared" si="15"/>
        <v>101.016666666667</v>
      </c>
      <c r="M297">
        <f t="shared" si="13"/>
        <v>1328.5</v>
      </c>
      <c r="N297">
        <f t="shared" si="14"/>
        <v>134200.641666667</v>
      </c>
    </row>
    <row r="298" spans="1:14">
      <c r="A298" t="s">
        <v>961</v>
      </c>
      <c r="B298" t="s">
        <v>962</v>
      </c>
      <c r="C298" t="s">
        <v>963</v>
      </c>
      <c r="D298" t="s">
        <v>964</v>
      </c>
      <c r="E298" t="s">
        <v>18</v>
      </c>
      <c r="F298">
        <v>95448</v>
      </c>
      <c r="I298" t="s">
        <v>965</v>
      </c>
      <c r="K298">
        <v>2.125</v>
      </c>
      <c r="L298">
        <f t="shared" si="15"/>
        <v>2.125</v>
      </c>
      <c r="M298">
        <f t="shared" si="13"/>
        <v>0</v>
      </c>
      <c r="N298">
        <f t="shared" si="14"/>
        <v>0</v>
      </c>
    </row>
    <row r="299" spans="1:14">
      <c r="A299" t="s">
        <v>14</v>
      </c>
      <c r="B299" t="s">
        <v>966</v>
      </c>
      <c r="C299" t="s">
        <v>967</v>
      </c>
      <c r="D299" t="s">
        <v>968</v>
      </c>
      <c r="E299" t="s">
        <v>18</v>
      </c>
      <c r="F299">
        <v>91362</v>
      </c>
      <c r="G299">
        <v>722</v>
      </c>
      <c r="H299">
        <v>2700</v>
      </c>
      <c r="I299" t="s">
        <v>969</v>
      </c>
      <c r="J299">
        <f>K299/12</f>
        <v>0.195833333333333</v>
      </c>
      <c r="K299">
        <v>2.35</v>
      </c>
      <c r="L299">
        <f t="shared" si="15"/>
        <v>0.195833333333333</v>
      </c>
      <c r="M299">
        <f t="shared" si="13"/>
        <v>1711</v>
      </c>
      <c r="N299">
        <f t="shared" si="14"/>
        <v>4020.85</v>
      </c>
    </row>
    <row r="300" spans="1:14">
      <c r="A300" t="s">
        <v>14</v>
      </c>
      <c r="B300" t="s">
        <v>970</v>
      </c>
      <c r="C300" t="s">
        <v>971</v>
      </c>
      <c r="D300" t="s">
        <v>972</v>
      </c>
      <c r="E300" t="s">
        <v>18</v>
      </c>
      <c r="F300">
        <v>94526</v>
      </c>
      <c r="G300">
        <v>2177</v>
      </c>
      <c r="H300">
        <v>2177</v>
      </c>
      <c r="I300" t="s">
        <v>973</v>
      </c>
      <c r="K300">
        <v>4.75</v>
      </c>
      <c r="L300">
        <f t="shared" si="15"/>
        <v>4.75</v>
      </c>
      <c r="M300">
        <f t="shared" si="13"/>
        <v>2177</v>
      </c>
      <c r="N300">
        <f t="shared" si="14"/>
        <v>10340.75</v>
      </c>
    </row>
    <row r="301" spans="1:14">
      <c r="A301" t="s">
        <v>14</v>
      </c>
      <c r="B301" t="s">
        <v>974</v>
      </c>
      <c r="C301" t="s">
        <v>975</v>
      </c>
      <c r="D301" t="s">
        <v>976</v>
      </c>
      <c r="E301" t="s">
        <v>18</v>
      </c>
      <c r="F301">
        <v>90280</v>
      </c>
      <c r="G301">
        <v>900</v>
      </c>
      <c r="H301">
        <v>2100</v>
      </c>
      <c r="I301" t="s">
        <v>977</v>
      </c>
      <c r="K301">
        <v>1.875</v>
      </c>
      <c r="L301">
        <f t="shared" si="15"/>
        <v>1.875</v>
      </c>
      <c r="M301">
        <f t="shared" si="13"/>
        <v>1500</v>
      </c>
      <c r="N301">
        <f t="shared" si="14"/>
        <v>2812.5</v>
      </c>
    </row>
    <row r="302" spans="1:14">
      <c r="A302" t="s">
        <v>14</v>
      </c>
      <c r="B302" t="s">
        <v>978</v>
      </c>
      <c r="C302" t="s">
        <v>979</v>
      </c>
      <c r="D302" t="s">
        <v>980</v>
      </c>
      <c r="E302" t="s">
        <v>18</v>
      </c>
      <c r="F302">
        <v>93257</v>
      </c>
      <c r="G302">
        <v>987</v>
      </c>
      <c r="H302">
        <v>987</v>
      </c>
      <c r="I302" t="s">
        <v>56</v>
      </c>
      <c r="K302">
        <v>1.5</v>
      </c>
      <c r="L302">
        <f t="shared" si="15"/>
        <v>1.5</v>
      </c>
      <c r="M302">
        <f t="shared" si="13"/>
        <v>987</v>
      </c>
      <c r="N302">
        <f t="shared" si="14"/>
        <v>1480.5</v>
      </c>
    </row>
    <row r="303" spans="1:14">
      <c r="A303" t="s">
        <v>14</v>
      </c>
      <c r="B303" t="s">
        <v>981</v>
      </c>
      <c r="C303" t="s">
        <v>982</v>
      </c>
      <c r="D303" t="s">
        <v>734</v>
      </c>
      <c r="E303" t="s">
        <v>18</v>
      </c>
      <c r="F303">
        <v>93309</v>
      </c>
      <c r="G303">
        <v>1500</v>
      </c>
      <c r="H303">
        <v>15073</v>
      </c>
      <c r="I303" t="s">
        <v>735</v>
      </c>
      <c r="K303">
        <v>1.85</v>
      </c>
      <c r="L303">
        <f t="shared" si="15"/>
        <v>1.85</v>
      </c>
      <c r="M303">
        <f t="shared" si="13"/>
        <v>8286.5</v>
      </c>
      <c r="N303">
        <f t="shared" si="14"/>
        <v>15330.025</v>
      </c>
    </row>
    <row r="304" spans="1:14">
      <c r="A304" t="s">
        <v>25</v>
      </c>
      <c r="B304" t="s">
        <v>983</v>
      </c>
      <c r="C304" t="s">
        <v>984</v>
      </c>
      <c r="D304" t="s">
        <v>985</v>
      </c>
      <c r="E304" t="s">
        <v>18</v>
      </c>
      <c r="F304">
        <v>94501</v>
      </c>
      <c r="G304">
        <v>1300</v>
      </c>
      <c r="H304">
        <v>1300</v>
      </c>
      <c r="I304" t="s">
        <v>150</v>
      </c>
      <c r="K304">
        <v>3</v>
      </c>
      <c r="L304">
        <f t="shared" si="15"/>
        <v>3</v>
      </c>
      <c r="M304">
        <f t="shared" si="13"/>
        <v>1300</v>
      </c>
      <c r="N304">
        <f t="shared" si="14"/>
        <v>3900</v>
      </c>
    </row>
    <row r="305" spans="1:14">
      <c r="A305" t="s">
        <v>14</v>
      </c>
      <c r="B305" t="s">
        <v>986</v>
      </c>
      <c r="C305" t="s">
        <v>987</v>
      </c>
      <c r="D305" t="s">
        <v>988</v>
      </c>
      <c r="E305" t="s">
        <v>18</v>
      </c>
      <c r="F305">
        <v>90277</v>
      </c>
      <c r="G305">
        <v>2704</v>
      </c>
      <c r="H305">
        <v>2704</v>
      </c>
      <c r="I305" t="s">
        <v>989</v>
      </c>
      <c r="K305">
        <v>4.43</v>
      </c>
      <c r="L305">
        <f t="shared" si="15"/>
        <v>4.43</v>
      </c>
      <c r="M305">
        <f t="shared" si="13"/>
        <v>2704</v>
      </c>
      <c r="N305">
        <f t="shared" si="14"/>
        <v>11978.72</v>
      </c>
    </row>
    <row r="306" spans="1:14">
      <c r="A306" t="s">
        <v>14</v>
      </c>
      <c r="B306" t="s">
        <v>990</v>
      </c>
      <c r="C306" t="s">
        <v>991</v>
      </c>
      <c r="D306" t="s">
        <v>992</v>
      </c>
      <c r="E306" t="s">
        <v>18</v>
      </c>
      <c r="F306">
        <v>95928</v>
      </c>
      <c r="G306">
        <v>2700</v>
      </c>
      <c r="H306">
        <v>2700</v>
      </c>
      <c r="I306" t="s">
        <v>993</v>
      </c>
      <c r="K306">
        <v>1.35</v>
      </c>
      <c r="L306">
        <f t="shared" si="15"/>
        <v>1.35</v>
      </c>
      <c r="M306">
        <f t="shared" si="13"/>
        <v>2700</v>
      </c>
      <c r="N306">
        <f t="shared" si="14"/>
        <v>3645</v>
      </c>
    </row>
    <row r="307" spans="1:14">
      <c r="A307" t="s">
        <v>25</v>
      </c>
      <c r="B307" t="s">
        <v>994</v>
      </c>
      <c r="C307" t="s">
        <v>995</v>
      </c>
      <c r="D307" t="s">
        <v>191</v>
      </c>
      <c r="E307" t="s">
        <v>18</v>
      </c>
      <c r="F307">
        <v>90813</v>
      </c>
      <c r="G307">
        <v>566</v>
      </c>
      <c r="H307">
        <v>566</v>
      </c>
      <c r="I307" t="s">
        <v>996</v>
      </c>
      <c r="K307">
        <v>7.02</v>
      </c>
      <c r="L307">
        <f t="shared" si="15"/>
        <v>7.02</v>
      </c>
      <c r="M307">
        <f t="shared" si="13"/>
        <v>566</v>
      </c>
      <c r="N307">
        <f t="shared" si="14"/>
        <v>3973.32</v>
      </c>
    </row>
    <row r="308" spans="1:14">
      <c r="A308" t="s">
        <v>14</v>
      </c>
      <c r="B308" t="s">
        <v>997</v>
      </c>
      <c r="C308" t="s">
        <v>714</v>
      </c>
      <c r="D308" t="s">
        <v>998</v>
      </c>
      <c r="E308" t="s">
        <v>18</v>
      </c>
      <c r="F308">
        <v>92404</v>
      </c>
      <c r="G308">
        <v>4020</v>
      </c>
      <c r="H308">
        <v>4020</v>
      </c>
      <c r="I308" t="s">
        <v>56</v>
      </c>
      <c r="K308">
        <v>1.5</v>
      </c>
      <c r="L308">
        <f t="shared" si="15"/>
        <v>1.5</v>
      </c>
      <c r="M308">
        <f t="shared" si="13"/>
        <v>4020</v>
      </c>
      <c r="N308">
        <f t="shared" si="14"/>
        <v>6030</v>
      </c>
    </row>
    <row r="309" spans="1:14">
      <c r="A309" t="s">
        <v>14</v>
      </c>
      <c r="B309" t="s">
        <v>999</v>
      </c>
      <c r="C309" t="s">
        <v>1000</v>
      </c>
      <c r="D309" t="s">
        <v>1001</v>
      </c>
      <c r="E309" t="s">
        <v>18</v>
      </c>
      <c r="F309">
        <v>93117</v>
      </c>
      <c r="G309">
        <v>2250</v>
      </c>
      <c r="H309">
        <v>2250</v>
      </c>
      <c r="I309" t="s">
        <v>390</v>
      </c>
      <c r="K309">
        <v>3.1</v>
      </c>
      <c r="L309">
        <f t="shared" si="15"/>
        <v>3.1</v>
      </c>
      <c r="M309">
        <f t="shared" si="13"/>
        <v>2250</v>
      </c>
      <c r="N309">
        <f t="shared" si="14"/>
        <v>6975</v>
      </c>
    </row>
    <row r="310" spans="1:14">
      <c r="A310" t="s">
        <v>14</v>
      </c>
      <c r="B310" t="s">
        <v>1002</v>
      </c>
      <c r="C310" t="s">
        <v>110</v>
      </c>
      <c r="D310" t="s">
        <v>1003</v>
      </c>
      <c r="E310" t="s">
        <v>18</v>
      </c>
      <c r="F310">
        <v>95630</v>
      </c>
      <c r="G310">
        <v>3200</v>
      </c>
      <c r="H310">
        <v>3200</v>
      </c>
      <c r="I310" t="s">
        <v>1004</v>
      </c>
      <c r="K310">
        <v>2.35</v>
      </c>
      <c r="L310">
        <f t="shared" si="15"/>
        <v>2.35</v>
      </c>
      <c r="M310">
        <f t="shared" si="13"/>
        <v>3200</v>
      </c>
      <c r="N310">
        <f t="shared" si="14"/>
        <v>7520</v>
      </c>
    </row>
    <row r="311" spans="1:14">
      <c r="A311" t="s">
        <v>25</v>
      </c>
      <c r="B311" t="s">
        <v>1005</v>
      </c>
      <c r="C311" t="s">
        <v>1006</v>
      </c>
      <c r="D311" t="s">
        <v>1007</v>
      </c>
      <c r="E311" t="s">
        <v>18</v>
      </c>
      <c r="F311">
        <v>91764</v>
      </c>
      <c r="G311">
        <v>2100</v>
      </c>
      <c r="H311">
        <v>2100</v>
      </c>
      <c r="I311" t="s">
        <v>1008</v>
      </c>
      <c r="K311">
        <v>5.71</v>
      </c>
      <c r="L311">
        <f t="shared" si="15"/>
        <v>5.71</v>
      </c>
      <c r="M311">
        <f t="shared" si="13"/>
        <v>2100</v>
      </c>
      <c r="N311">
        <f t="shared" si="14"/>
        <v>11991</v>
      </c>
    </row>
    <row r="312" spans="1:14">
      <c r="A312" t="s">
        <v>14</v>
      </c>
      <c r="B312" t="s">
        <v>1009</v>
      </c>
      <c r="C312" t="s">
        <v>1010</v>
      </c>
      <c r="D312" t="s">
        <v>1011</v>
      </c>
      <c r="E312" t="s">
        <v>18</v>
      </c>
      <c r="F312">
        <v>90660</v>
      </c>
      <c r="G312">
        <v>900</v>
      </c>
      <c r="H312">
        <v>13000</v>
      </c>
      <c r="I312" t="s">
        <v>1012</v>
      </c>
      <c r="K312">
        <v>1.25</v>
      </c>
      <c r="L312">
        <f t="shared" si="15"/>
        <v>1.25</v>
      </c>
      <c r="M312">
        <f t="shared" si="13"/>
        <v>6950</v>
      </c>
      <c r="N312">
        <f t="shared" si="14"/>
        <v>8687.5</v>
      </c>
    </row>
    <row r="313" spans="1:14">
      <c r="A313" t="s">
        <v>25</v>
      </c>
      <c r="B313" t="s">
        <v>1013</v>
      </c>
      <c r="C313" t="s">
        <v>1014</v>
      </c>
      <c r="D313" t="s">
        <v>1015</v>
      </c>
      <c r="E313" t="s">
        <v>18</v>
      </c>
      <c r="F313">
        <v>93001</v>
      </c>
      <c r="G313">
        <v>2248</v>
      </c>
      <c r="H313">
        <v>2248</v>
      </c>
      <c r="I313" t="s">
        <v>1016</v>
      </c>
      <c r="K313">
        <v>2.89</v>
      </c>
      <c r="L313">
        <f t="shared" si="15"/>
        <v>2.89</v>
      </c>
      <c r="M313">
        <f t="shared" si="13"/>
        <v>2248</v>
      </c>
      <c r="N313">
        <f t="shared" si="14"/>
        <v>6496.72</v>
      </c>
    </row>
    <row r="314" spans="1:14">
      <c r="A314" t="s">
        <v>14</v>
      </c>
      <c r="B314" t="s">
        <v>1017</v>
      </c>
      <c r="C314" t="s">
        <v>1018</v>
      </c>
      <c r="D314" t="s">
        <v>1019</v>
      </c>
      <c r="E314" t="s">
        <v>18</v>
      </c>
      <c r="F314">
        <v>95814</v>
      </c>
      <c r="G314">
        <v>3764</v>
      </c>
      <c r="H314">
        <v>3764</v>
      </c>
      <c r="I314" t="s">
        <v>735</v>
      </c>
      <c r="K314">
        <v>1.85</v>
      </c>
      <c r="L314">
        <f t="shared" si="15"/>
        <v>1.85</v>
      </c>
      <c r="M314">
        <f t="shared" si="13"/>
        <v>3764</v>
      </c>
      <c r="N314">
        <f t="shared" si="14"/>
        <v>6963.4</v>
      </c>
    </row>
    <row r="315" spans="1:14">
      <c r="A315" t="s">
        <v>1020</v>
      </c>
      <c r="B315" t="s">
        <v>994</v>
      </c>
      <c r="C315" t="s">
        <v>995</v>
      </c>
      <c r="D315" t="s">
        <v>191</v>
      </c>
      <c r="E315" t="s">
        <v>18</v>
      </c>
      <c r="F315">
        <v>90813</v>
      </c>
      <c r="G315">
        <v>566</v>
      </c>
      <c r="H315">
        <v>566</v>
      </c>
      <c r="I315" t="s">
        <v>996</v>
      </c>
      <c r="K315">
        <v>7.02</v>
      </c>
      <c r="L315">
        <f t="shared" si="15"/>
        <v>7.02</v>
      </c>
      <c r="M315">
        <f t="shared" si="13"/>
        <v>566</v>
      </c>
      <c r="N315">
        <f t="shared" si="14"/>
        <v>3973.32</v>
      </c>
    </row>
    <row r="316" spans="1:14">
      <c r="A316" t="s">
        <v>25</v>
      </c>
      <c r="B316" t="s">
        <v>994</v>
      </c>
      <c r="C316" t="s">
        <v>995</v>
      </c>
      <c r="D316" t="s">
        <v>191</v>
      </c>
      <c r="E316" t="s">
        <v>18</v>
      </c>
      <c r="F316">
        <v>90813</v>
      </c>
      <c r="G316">
        <v>567</v>
      </c>
      <c r="H316">
        <v>567</v>
      </c>
      <c r="I316" t="s">
        <v>996</v>
      </c>
      <c r="K316">
        <v>7.02</v>
      </c>
      <c r="L316">
        <f t="shared" si="15"/>
        <v>7.02</v>
      </c>
      <c r="M316">
        <f t="shared" si="13"/>
        <v>567</v>
      </c>
      <c r="N316">
        <f t="shared" si="14"/>
        <v>3980.34</v>
      </c>
    </row>
    <row r="317" spans="1:14">
      <c r="A317" t="s">
        <v>14</v>
      </c>
      <c r="B317" t="s">
        <v>1009</v>
      </c>
      <c r="C317" t="s">
        <v>1010</v>
      </c>
      <c r="D317" t="s">
        <v>1011</v>
      </c>
      <c r="E317" t="s">
        <v>18</v>
      </c>
      <c r="F317">
        <v>90660</v>
      </c>
      <c r="G317">
        <v>900</v>
      </c>
      <c r="H317">
        <v>13000</v>
      </c>
      <c r="I317" t="s">
        <v>1021</v>
      </c>
      <c r="K317">
        <v>1.375</v>
      </c>
      <c r="L317">
        <f t="shared" si="15"/>
        <v>1.375</v>
      </c>
      <c r="M317">
        <f t="shared" si="13"/>
        <v>6950</v>
      </c>
      <c r="N317">
        <f t="shared" si="14"/>
        <v>9556.25</v>
      </c>
    </row>
    <row r="318" spans="1:14">
      <c r="A318" t="s">
        <v>14</v>
      </c>
      <c r="B318" t="s">
        <v>1022</v>
      </c>
      <c r="C318" t="s">
        <v>1023</v>
      </c>
      <c r="D318" t="s">
        <v>1024</v>
      </c>
      <c r="E318" t="s">
        <v>18</v>
      </c>
      <c r="F318">
        <v>90016</v>
      </c>
      <c r="G318">
        <v>3148</v>
      </c>
      <c r="H318">
        <v>3148</v>
      </c>
      <c r="I318" t="s">
        <v>812</v>
      </c>
      <c r="K318">
        <v>3.33</v>
      </c>
      <c r="L318">
        <f t="shared" si="15"/>
        <v>3.33</v>
      </c>
      <c r="M318">
        <f t="shared" si="13"/>
        <v>3148</v>
      </c>
      <c r="N318">
        <f t="shared" si="14"/>
        <v>10482.84</v>
      </c>
    </row>
    <row r="319" spans="1:14">
      <c r="A319" t="s">
        <v>25</v>
      </c>
      <c r="B319" t="s">
        <v>994</v>
      </c>
      <c r="C319" t="s">
        <v>995</v>
      </c>
      <c r="D319" t="s">
        <v>191</v>
      </c>
      <c r="E319" t="s">
        <v>18</v>
      </c>
      <c r="F319">
        <v>90813</v>
      </c>
      <c r="G319">
        <v>566</v>
      </c>
      <c r="H319">
        <v>566</v>
      </c>
      <c r="I319" t="s">
        <v>996</v>
      </c>
      <c r="K319">
        <v>7.02</v>
      </c>
      <c r="L319">
        <f t="shared" si="15"/>
        <v>7.02</v>
      </c>
      <c r="M319">
        <f t="shared" si="13"/>
        <v>566</v>
      </c>
      <c r="N319">
        <f t="shared" si="14"/>
        <v>3973.32</v>
      </c>
    </row>
    <row r="320" spans="1:14">
      <c r="A320" t="s">
        <v>14</v>
      </c>
      <c r="B320" t="s">
        <v>1025</v>
      </c>
      <c r="C320" t="s">
        <v>1026</v>
      </c>
      <c r="D320" t="s">
        <v>1027</v>
      </c>
      <c r="E320" t="s">
        <v>18</v>
      </c>
      <c r="F320">
        <v>91786</v>
      </c>
      <c r="G320">
        <v>1140</v>
      </c>
      <c r="H320">
        <v>1140</v>
      </c>
      <c r="I320" t="s">
        <v>1028</v>
      </c>
      <c r="K320">
        <v>1.45</v>
      </c>
      <c r="L320">
        <f t="shared" si="15"/>
        <v>1.45</v>
      </c>
      <c r="M320">
        <f t="shared" si="13"/>
        <v>1140</v>
      </c>
      <c r="N320">
        <f t="shared" si="14"/>
        <v>1653</v>
      </c>
    </row>
    <row r="321" spans="1:14">
      <c r="A321" t="s">
        <v>14</v>
      </c>
      <c r="B321" t="s">
        <v>1029</v>
      </c>
      <c r="C321" t="s">
        <v>1030</v>
      </c>
      <c r="D321" t="s">
        <v>17</v>
      </c>
      <c r="E321" t="s">
        <v>18</v>
      </c>
      <c r="F321">
        <v>91604</v>
      </c>
      <c r="G321">
        <v>3269</v>
      </c>
      <c r="H321">
        <v>5630</v>
      </c>
      <c r="I321" t="s">
        <v>1031</v>
      </c>
      <c r="J321">
        <f>K321/12</f>
        <v>5.5</v>
      </c>
      <c r="K321">
        <v>66</v>
      </c>
      <c r="L321">
        <f t="shared" si="15"/>
        <v>5.5</v>
      </c>
      <c r="M321">
        <f t="shared" si="13"/>
        <v>4449.5</v>
      </c>
      <c r="N321">
        <f t="shared" si="14"/>
        <v>293667</v>
      </c>
    </row>
    <row r="322" spans="1:14">
      <c r="A322" t="s">
        <v>14</v>
      </c>
      <c r="B322" t="s">
        <v>1032</v>
      </c>
      <c r="C322" t="s">
        <v>1033</v>
      </c>
      <c r="D322" t="s">
        <v>1034</v>
      </c>
      <c r="E322" t="s">
        <v>18</v>
      </c>
      <c r="F322">
        <v>90501</v>
      </c>
      <c r="G322">
        <v>5200</v>
      </c>
      <c r="H322">
        <v>5200</v>
      </c>
      <c r="I322" t="s">
        <v>56</v>
      </c>
      <c r="K322">
        <v>1.5</v>
      </c>
      <c r="L322">
        <f t="shared" si="15"/>
        <v>1.5</v>
      </c>
      <c r="M322">
        <f t="shared" si="13"/>
        <v>5200</v>
      </c>
      <c r="N322">
        <f t="shared" si="14"/>
        <v>7800</v>
      </c>
    </row>
    <row r="323" spans="1:14">
      <c r="A323" t="s">
        <v>25</v>
      </c>
      <c r="B323" t="s">
        <v>1035</v>
      </c>
      <c r="C323" t="s">
        <v>1036</v>
      </c>
      <c r="D323" t="s">
        <v>1037</v>
      </c>
      <c r="E323" t="s">
        <v>18</v>
      </c>
      <c r="F323">
        <v>91350</v>
      </c>
      <c r="G323">
        <v>1092</v>
      </c>
      <c r="H323">
        <v>1092</v>
      </c>
      <c r="I323" t="s">
        <v>1038</v>
      </c>
      <c r="K323">
        <v>5.95</v>
      </c>
      <c r="L323">
        <f t="shared" si="15"/>
        <v>5.95</v>
      </c>
      <c r="M323">
        <f t="shared" ref="M323:M386" si="16">(G323+H323)/2</f>
        <v>1092</v>
      </c>
      <c r="N323">
        <f t="shared" ref="N323:N386" si="17">M323*K323</f>
        <v>6497.4</v>
      </c>
    </row>
    <row r="324" spans="1:14">
      <c r="A324" t="s">
        <v>14</v>
      </c>
      <c r="B324" t="s">
        <v>1039</v>
      </c>
      <c r="C324" t="s">
        <v>1040</v>
      </c>
      <c r="D324" t="s">
        <v>1041</v>
      </c>
      <c r="E324" t="s">
        <v>18</v>
      </c>
      <c r="F324">
        <v>94107</v>
      </c>
      <c r="G324">
        <v>1750</v>
      </c>
      <c r="H324">
        <v>1750</v>
      </c>
      <c r="I324" t="s">
        <v>157</v>
      </c>
      <c r="J324">
        <f>K324/12</f>
        <v>2.5</v>
      </c>
      <c r="K324">
        <v>30</v>
      </c>
      <c r="L324">
        <f t="shared" si="15"/>
        <v>2.5</v>
      </c>
      <c r="M324">
        <f t="shared" si="16"/>
        <v>1750</v>
      </c>
      <c r="N324">
        <f t="shared" si="17"/>
        <v>52500</v>
      </c>
    </row>
    <row r="325" spans="1:14">
      <c r="A325" t="s">
        <v>14</v>
      </c>
      <c r="B325" t="s">
        <v>1042</v>
      </c>
      <c r="C325" t="s">
        <v>1043</v>
      </c>
      <c r="D325" t="s">
        <v>72</v>
      </c>
      <c r="E325" t="s">
        <v>18</v>
      </c>
      <c r="F325">
        <v>90015</v>
      </c>
      <c r="G325">
        <v>129</v>
      </c>
      <c r="H325">
        <v>2102</v>
      </c>
      <c r="I325" t="s">
        <v>1044</v>
      </c>
      <c r="K325">
        <v>2.575</v>
      </c>
      <c r="L325">
        <f t="shared" si="15"/>
        <v>2.575</v>
      </c>
      <c r="M325">
        <f t="shared" si="16"/>
        <v>1115.5</v>
      </c>
      <c r="N325">
        <f t="shared" si="17"/>
        <v>2872.4125</v>
      </c>
    </row>
    <row r="326" spans="1:14">
      <c r="A326" t="s">
        <v>25</v>
      </c>
      <c r="B326" t="s">
        <v>994</v>
      </c>
      <c r="C326" t="s">
        <v>995</v>
      </c>
      <c r="D326" t="s">
        <v>191</v>
      </c>
      <c r="E326" t="s">
        <v>18</v>
      </c>
      <c r="F326">
        <v>90813</v>
      </c>
      <c r="G326">
        <v>260</v>
      </c>
      <c r="H326">
        <v>260</v>
      </c>
      <c r="I326" t="s">
        <v>996</v>
      </c>
      <c r="K326">
        <v>7.02</v>
      </c>
      <c r="L326">
        <f t="shared" ref="L326:L389" si="18">IF(J326="",K326,J326)</f>
        <v>7.02</v>
      </c>
      <c r="M326">
        <f t="shared" si="16"/>
        <v>260</v>
      </c>
      <c r="N326">
        <f t="shared" si="17"/>
        <v>1825.2</v>
      </c>
    </row>
    <row r="327" spans="1:14">
      <c r="A327" t="s">
        <v>25</v>
      </c>
      <c r="B327" t="s">
        <v>1045</v>
      </c>
      <c r="C327" t="s">
        <v>1046</v>
      </c>
      <c r="D327" t="s">
        <v>285</v>
      </c>
      <c r="E327" t="s">
        <v>18</v>
      </c>
      <c r="F327">
        <v>90021</v>
      </c>
      <c r="G327">
        <v>425</v>
      </c>
      <c r="H327">
        <v>1000</v>
      </c>
      <c r="I327" t="s">
        <v>1047</v>
      </c>
      <c r="K327">
        <v>8.6</v>
      </c>
      <c r="L327">
        <f t="shared" si="18"/>
        <v>8.6</v>
      </c>
      <c r="M327">
        <f t="shared" si="16"/>
        <v>712.5</v>
      </c>
      <c r="N327">
        <f t="shared" si="17"/>
        <v>6127.5</v>
      </c>
    </row>
    <row r="328" spans="1:14">
      <c r="A328" t="s">
        <v>25</v>
      </c>
      <c r="B328" t="s">
        <v>994</v>
      </c>
      <c r="C328" t="s">
        <v>995</v>
      </c>
      <c r="D328" t="s">
        <v>191</v>
      </c>
      <c r="E328" t="s">
        <v>18</v>
      </c>
      <c r="F328">
        <v>90813</v>
      </c>
      <c r="G328">
        <v>514</v>
      </c>
      <c r="H328">
        <v>514</v>
      </c>
      <c r="I328" t="s">
        <v>996</v>
      </c>
      <c r="K328">
        <v>7.02</v>
      </c>
      <c r="L328">
        <f t="shared" si="18"/>
        <v>7.02</v>
      </c>
      <c r="M328">
        <f t="shared" si="16"/>
        <v>514</v>
      </c>
      <c r="N328">
        <f t="shared" si="17"/>
        <v>3608.28</v>
      </c>
    </row>
    <row r="329" spans="1:14">
      <c r="A329" t="s">
        <v>14</v>
      </c>
      <c r="B329" t="s">
        <v>1048</v>
      </c>
      <c r="C329" t="s">
        <v>1049</v>
      </c>
      <c r="D329" t="s">
        <v>854</v>
      </c>
      <c r="E329" t="s">
        <v>18</v>
      </c>
      <c r="F329">
        <v>95811</v>
      </c>
      <c r="G329">
        <v>1120</v>
      </c>
      <c r="H329">
        <v>7520</v>
      </c>
      <c r="I329" t="s">
        <v>1050</v>
      </c>
      <c r="J329">
        <f>K329/12</f>
        <v>1.60416666666667</v>
      </c>
      <c r="K329">
        <v>19.25</v>
      </c>
      <c r="L329">
        <f t="shared" si="18"/>
        <v>1.60416666666667</v>
      </c>
      <c r="M329">
        <f t="shared" si="16"/>
        <v>4320</v>
      </c>
      <c r="N329">
        <f t="shared" si="17"/>
        <v>83160</v>
      </c>
    </row>
    <row r="330" spans="1:14">
      <c r="B330" t="s">
        <v>1051</v>
      </c>
      <c r="C330" t="s">
        <v>1052</v>
      </c>
      <c r="D330" t="s">
        <v>1053</v>
      </c>
      <c r="E330" t="s">
        <v>1054</v>
      </c>
      <c r="F330">
        <v>30523</v>
      </c>
      <c r="I330" t="s">
        <v>1055</v>
      </c>
      <c r="K330">
        <v>10</v>
      </c>
      <c r="L330">
        <f t="shared" si="18"/>
        <v>10</v>
      </c>
      <c r="M330">
        <f t="shared" si="16"/>
        <v>0</v>
      </c>
      <c r="N330">
        <f t="shared" si="17"/>
        <v>0</v>
      </c>
    </row>
    <row r="331" spans="1:14">
      <c r="A331" t="s">
        <v>14</v>
      </c>
      <c r="B331" t="s">
        <v>1056</v>
      </c>
      <c r="C331" t="s">
        <v>1057</v>
      </c>
      <c r="D331" t="s">
        <v>1058</v>
      </c>
      <c r="E331" t="s">
        <v>18</v>
      </c>
      <c r="F331">
        <v>95127</v>
      </c>
      <c r="G331">
        <v>2400</v>
      </c>
      <c r="H331">
        <v>2400</v>
      </c>
      <c r="I331" t="s">
        <v>150</v>
      </c>
      <c r="K331">
        <v>3</v>
      </c>
      <c r="L331">
        <f t="shared" si="18"/>
        <v>3</v>
      </c>
      <c r="M331">
        <f t="shared" si="16"/>
        <v>2400</v>
      </c>
      <c r="N331">
        <f t="shared" si="17"/>
        <v>7200</v>
      </c>
    </row>
    <row r="332" spans="1:14">
      <c r="A332" t="s">
        <v>14</v>
      </c>
      <c r="B332" t="s">
        <v>1059</v>
      </c>
      <c r="C332" t="s">
        <v>1060</v>
      </c>
      <c r="D332" t="s">
        <v>1061</v>
      </c>
      <c r="E332" t="s">
        <v>18</v>
      </c>
      <c r="F332">
        <v>91763</v>
      </c>
      <c r="G332">
        <v>3250</v>
      </c>
      <c r="H332">
        <v>9500</v>
      </c>
      <c r="I332" t="s">
        <v>614</v>
      </c>
      <c r="K332">
        <v>1.875</v>
      </c>
      <c r="L332">
        <f t="shared" si="18"/>
        <v>1.875</v>
      </c>
      <c r="M332">
        <f t="shared" si="16"/>
        <v>6375</v>
      </c>
      <c r="N332">
        <f t="shared" si="17"/>
        <v>11953.125</v>
      </c>
    </row>
    <row r="333" spans="1:14">
      <c r="A333" t="s">
        <v>25</v>
      </c>
      <c r="B333" t="s">
        <v>994</v>
      </c>
      <c r="C333" t="s">
        <v>995</v>
      </c>
      <c r="D333" t="s">
        <v>191</v>
      </c>
      <c r="E333" t="s">
        <v>18</v>
      </c>
      <c r="F333">
        <v>90813</v>
      </c>
      <c r="G333">
        <v>566</v>
      </c>
      <c r="H333">
        <v>566</v>
      </c>
      <c r="I333" t="s">
        <v>996</v>
      </c>
      <c r="K333">
        <v>7.02</v>
      </c>
      <c r="L333">
        <f t="shared" si="18"/>
        <v>7.02</v>
      </c>
      <c r="M333">
        <f t="shared" si="16"/>
        <v>566</v>
      </c>
      <c r="N333">
        <f t="shared" si="17"/>
        <v>3973.32</v>
      </c>
    </row>
    <row r="334" spans="1:14">
      <c r="A334" t="s">
        <v>14</v>
      </c>
      <c r="B334" t="s">
        <v>1062</v>
      </c>
      <c r="C334" t="s">
        <v>1063</v>
      </c>
      <c r="D334" t="s">
        <v>43</v>
      </c>
      <c r="E334" t="s">
        <v>18</v>
      </c>
      <c r="F334">
        <v>92284</v>
      </c>
      <c r="G334">
        <v>5000</v>
      </c>
      <c r="H334">
        <v>5000</v>
      </c>
      <c r="I334" t="s">
        <v>60</v>
      </c>
      <c r="K334">
        <v>1.75</v>
      </c>
      <c r="L334">
        <f t="shared" si="18"/>
        <v>1.75</v>
      </c>
      <c r="M334">
        <f t="shared" si="16"/>
        <v>5000</v>
      </c>
      <c r="N334">
        <f t="shared" si="17"/>
        <v>8750</v>
      </c>
    </row>
    <row r="335" spans="1:14">
      <c r="A335" t="s">
        <v>14</v>
      </c>
      <c r="B335" t="s">
        <v>1064</v>
      </c>
      <c r="C335" t="s">
        <v>1065</v>
      </c>
      <c r="D335" t="s">
        <v>1066</v>
      </c>
      <c r="E335" t="s">
        <v>18</v>
      </c>
      <c r="F335">
        <v>93720</v>
      </c>
      <c r="G335">
        <v>1445</v>
      </c>
      <c r="H335">
        <v>1445</v>
      </c>
      <c r="I335" t="s">
        <v>1067</v>
      </c>
      <c r="K335">
        <v>1.9</v>
      </c>
      <c r="L335">
        <f t="shared" si="18"/>
        <v>1.9</v>
      </c>
      <c r="M335">
        <f t="shared" si="16"/>
        <v>1445</v>
      </c>
      <c r="N335">
        <f t="shared" si="17"/>
        <v>2745.5</v>
      </c>
    </row>
    <row r="336" spans="1:14">
      <c r="A336" t="s">
        <v>14</v>
      </c>
      <c r="B336" t="s">
        <v>1068</v>
      </c>
      <c r="C336" t="s">
        <v>1069</v>
      </c>
      <c r="D336" t="s">
        <v>1070</v>
      </c>
      <c r="E336" t="s">
        <v>18</v>
      </c>
      <c r="F336">
        <v>91750</v>
      </c>
      <c r="G336">
        <v>1538</v>
      </c>
      <c r="H336">
        <v>1538</v>
      </c>
      <c r="I336" t="s">
        <v>150</v>
      </c>
      <c r="K336">
        <v>3</v>
      </c>
      <c r="L336">
        <f t="shared" si="18"/>
        <v>3</v>
      </c>
      <c r="M336">
        <f t="shared" si="16"/>
        <v>1538</v>
      </c>
      <c r="N336">
        <f t="shared" si="17"/>
        <v>4614</v>
      </c>
    </row>
    <row r="337" spans="1:14">
      <c r="A337" t="s">
        <v>25</v>
      </c>
      <c r="B337" t="s">
        <v>1071</v>
      </c>
      <c r="C337" t="s">
        <v>1072</v>
      </c>
      <c r="D337" t="s">
        <v>1073</v>
      </c>
      <c r="E337" t="s">
        <v>18</v>
      </c>
      <c r="F337">
        <v>95062</v>
      </c>
      <c r="G337">
        <v>4085</v>
      </c>
      <c r="H337">
        <v>4085</v>
      </c>
      <c r="I337" t="s">
        <v>65</v>
      </c>
      <c r="K337">
        <v>2</v>
      </c>
      <c r="L337">
        <f t="shared" si="18"/>
        <v>2</v>
      </c>
      <c r="M337">
        <f t="shared" si="16"/>
        <v>4085</v>
      </c>
      <c r="N337">
        <f t="shared" si="17"/>
        <v>8170</v>
      </c>
    </row>
    <row r="338" spans="1:14">
      <c r="A338" t="s">
        <v>14</v>
      </c>
      <c r="B338" t="s">
        <v>1074</v>
      </c>
      <c r="C338" t="s">
        <v>1075</v>
      </c>
      <c r="D338" t="s">
        <v>1076</v>
      </c>
      <c r="E338" t="s">
        <v>18</v>
      </c>
      <c r="F338">
        <v>95367</v>
      </c>
      <c r="G338">
        <v>2268</v>
      </c>
      <c r="H338">
        <v>2268</v>
      </c>
      <c r="I338" t="s">
        <v>82</v>
      </c>
      <c r="K338">
        <v>1.2</v>
      </c>
      <c r="L338">
        <f t="shared" si="18"/>
        <v>1.2</v>
      </c>
      <c r="M338">
        <f t="shared" si="16"/>
        <v>2268</v>
      </c>
      <c r="N338">
        <f t="shared" si="17"/>
        <v>2721.6</v>
      </c>
    </row>
    <row r="339" spans="1:14">
      <c r="B339" t="s">
        <v>994</v>
      </c>
      <c r="C339" t="s">
        <v>995</v>
      </c>
      <c r="D339" t="s">
        <v>191</v>
      </c>
      <c r="E339" t="s">
        <v>18</v>
      </c>
      <c r="F339">
        <v>90813</v>
      </c>
      <c r="I339" t="s">
        <v>1077</v>
      </c>
      <c r="K339">
        <v>9.255</v>
      </c>
      <c r="L339">
        <f t="shared" si="18"/>
        <v>9.255</v>
      </c>
      <c r="M339">
        <f t="shared" si="16"/>
        <v>0</v>
      </c>
      <c r="N339">
        <f t="shared" si="17"/>
        <v>0</v>
      </c>
    </row>
    <row r="340" spans="1:14">
      <c r="A340" t="s">
        <v>14</v>
      </c>
      <c r="B340" t="s">
        <v>1078</v>
      </c>
      <c r="C340" t="s">
        <v>1079</v>
      </c>
      <c r="D340" t="s">
        <v>1080</v>
      </c>
      <c r="E340" t="s">
        <v>18</v>
      </c>
      <c r="F340">
        <v>92505</v>
      </c>
      <c r="G340">
        <v>2173</v>
      </c>
      <c r="H340">
        <v>5520</v>
      </c>
      <c r="I340" t="s">
        <v>735</v>
      </c>
      <c r="K340">
        <v>1.85</v>
      </c>
      <c r="L340">
        <f t="shared" si="18"/>
        <v>1.85</v>
      </c>
      <c r="M340">
        <f t="shared" si="16"/>
        <v>3846.5</v>
      </c>
      <c r="N340">
        <f t="shared" si="17"/>
        <v>7116.025</v>
      </c>
    </row>
    <row r="341" spans="1:14">
      <c r="A341" t="s">
        <v>14</v>
      </c>
      <c r="B341" t="s">
        <v>1081</v>
      </c>
      <c r="C341" t="s">
        <v>1052</v>
      </c>
      <c r="D341" t="s">
        <v>1082</v>
      </c>
      <c r="E341" t="s">
        <v>18</v>
      </c>
      <c r="F341">
        <v>91502</v>
      </c>
      <c r="G341">
        <v>2000</v>
      </c>
      <c r="H341">
        <v>9000</v>
      </c>
      <c r="I341" t="s">
        <v>1083</v>
      </c>
      <c r="J341">
        <f>K341/12</f>
        <v>5.25</v>
      </c>
      <c r="K341">
        <v>63</v>
      </c>
      <c r="L341">
        <f t="shared" si="18"/>
        <v>5.25</v>
      </c>
      <c r="M341">
        <f t="shared" si="16"/>
        <v>5500</v>
      </c>
      <c r="N341">
        <f t="shared" si="17"/>
        <v>346500</v>
      </c>
    </row>
    <row r="342" spans="1:14">
      <c r="A342" t="s">
        <v>25</v>
      </c>
      <c r="B342" t="s">
        <v>994</v>
      </c>
      <c r="C342" t="s">
        <v>995</v>
      </c>
      <c r="D342" t="s">
        <v>191</v>
      </c>
      <c r="E342" t="s">
        <v>18</v>
      </c>
      <c r="F342">
        <v>90813</v>
      </c>
      <c r="G342">
        <v>723</v>
      </c>
      <c r="H342">
        <v>723</v>
      </c>
      <c r="I342" t="s">
        <v>996</v>
      </c>
      <c r="K342">
        <v>7.02</v>
      </c>
      <c r="L342">
        <f t="shared" si="18"/>
        <v>7.02</v>
      </c>
      <c r="M342">
        <f t="shared" si="16"/>
        <v>723</v>
      </c>
      <c r="N342">
        <f t="shared" si="17"/>
        <v>5075.46</v>
      </c>
    </row>
    <row r="343" spans="1:14">
      <c r="A343" t="s">
        <v>14</v>
      </c>
      <c r="B343" t="s">
        <v>1084</v>
      </c>
      <c r="C343" t="s">
        <v>1085</v>
      </c>
      <c r="D343" t="s">
        <v>1086</v>
      </c>
      <c r="E343" t="s">
        <v>18</v>
      </c>
      <c r="F343">
        <v>93210</v>
      </c>
      <c r="G343">
        <v>5000</v>
      </c>
      <c r="H343">
        <v>12123</v>
      </c>
      <c r="I343" t="s">
        <v>1087</v>
      </c>
      <c r="J343">
        <f>K343/12</f>
        <v>1</v>
      </c>
      <c r="K343">
        <v>12</v>
      </c>
      <c r="L343">
        <f t="shared" si="18"/>
        <v>1</v>
      </c>
      <c r="M343">
        <f t="shared" si="16"/>
        <v>8561.5</v>
      </c>
      <c r="N343">
        <f t="shared" si="17"/>
        <v>102738</v>
      </c>
    </row>
    <row r="344" spans="1:14">
      <c r="A344" t="s">
        <v>25</v>
      </c>
      <c r="B344" t="s">
        <v>1088</v>
      </c>
      <c r="C344" t="s">
        <v>1089</v>
      </c>
      <c r="D344" t="s">
        <v>1090</v>
      </c>
      <c r="E344" t="s">
        <v>18</v>
      </c>
      <c r="F344">
        <v>95050</v>
      </c>
      <c r="G344">
        <v>2500</v>
      </c>
      <c r="H344">
        <v>2500</v>
      </c>
      <c r="I344" t="s">
        <v>200</v>
      </c>
      <c r="K344">
        <v>2.5</v>
      </c>
      <c r="L344">
        <f t="shared" si="18"/>
        <v>2.5</v>
      </c>
      <c r="M344">
        <f t="shared" si="16"/>
        <v>2500</v>
      </c>
      <c r="N344">
        <f t="shared" si="17"/>
        <v>6250</v>
      </c>
    </row>
    <row r="345" spans="1:14">
      <c r="A345" t="s">
        <v>25</v>
      </c>
      <c r="B345" t="s">
        <v>1091</v>
      </c>
      <c r="C345" t="s">
        <v>1092</v>
      </c>
      <c r="D345" t="s">
        <v>1015</v>
      </c>
      <c r="E345" t="s">
        <v>18</v>
      </c>
      <c r="F345">
        <v>93001</v>
      </c>
      <c r="G345">
        <v>2248</v>
      </c>
      <c r="H345">
        <v>2248</v>
      </c>
      <c r="I345" t="s">
        <v>1093</v>
      </c>
      <c r="K345">
        <v>2.9</v>
      </c>
      <c r="L345">
        <f t="shared" si="18"/>
        <v>2.9</v>
      </c>
      <c r="M345">
        <f t="shared" si="16"/>
        <v>2248</v>
      </c>
      <c r="N345">
        <f t="shared" si="17"/>
        <v>6519.2</v>
      </c>
    </row>
    <row r="346" spans="1:14">
      <c r="A346" t="s">
        <v>25</v>
      </c>
      <c r="B346" t="s">
        <v>994</v>
      </c>
      <c r="C346" t="s">
        <v>995</v>
      </c>
      <c r="D346" t="s">
        <v>191</v>
      </c>
      <c r="E346" t="s">
        <v>18</v>
      </c>
      <c r="F346">
        <v>90813</v>
      </c>
      <c r="G346">
        <v>520</v>
      </c>
      <c r="H346">
        <v>520</v>
      </c>
      <c r="I346" t="s">
        <v>996</v>
      </c>
      <c r="K346">
        <v>7.02</v>
      </c>
      <c r="L346">
        <f t="shared" si="18"/>
        <v>7.02</v>
      </c>
      <c r="M346">
        <f t="shared" si="16"/>
        <v>520</v>
      </c>
      <c r="N346">
        <f t="shared" si="17"/>
        <v>3650.4</v>
      </c>
    </row>
    <row r="347" spans="1:14">
      <c r="A347" t="s">
        <v>14</v>
      </c>
      <c r="B347" t="s">
        <v>1094</v>
      </c>
      <c r="C347" t="s">
        <v>1095</v>
      </c>
      <c r="D347" t="s">
        <v>207</v>
      </c>
      <c r="E347" t="s">
        <v>18</v>
      </c>
      <c r="F347">
        <v>95122</v>
      </c>
      <c r="G347">
        <v>1400</v>
      </c>
      <c r="H347">
        <v>1400</v>
      </c>
      <c r="I347" t="s">
        <v>150</v>
      </c>
      <c r="K347">
        <v>3</v>
      </c>
      <c r="L347">
        <f t="shared" si="18"/>
        <v>3</v>
      </c>
      <c r="M347">
        <f t="shared" si="16"/>
        <v>1400</v>
      </c>
      <c r="N347">
        <f t="shared" si="17"/>
        <v>4200</v>
      </c>
    </row>
    <row r="348" spans="1:14">
      <c r="A348" t="s">
        <v>25</v>
      </c>
      <c r="B348" t="s">
        <v>1096</v>
      </c>
      <c r="C348" t="s">
        <v>1097</v>
      </c>
      <c r="D348" t="s">
        <v>1098</v>
      </c>
      <c r="E348" t="s">
        <v>18</v>
      </c>
      <c r="F348">
        <v>91786</v>
      </c>
      <c r="G348">
        <v>2642</v>
      </c>
      <c r="H348">
        <v>2642</v>
      </c>
      <c r="I348" t="s">
        <v>840</v>
      </c>
      <c r="K348">
        <v>4.16</v>
      </c>
      <c r="L348">
        <f t="shared" si="18"/>
        <v>4.16</v>
      </c>
      <c r="M348">
        <f t="shared" si="16"/>
        <v>2642</v>
      </c>
      <c r="N348">
        <f t="shared" si="17"/>
        <v>10990.72</v>
      </c>
    </row>
    <row r="349" spans="1:14">
      <c r="A349" t="s">
        <v>14</v>
      </c>
      <c r="B349" t="s">
        <v>1099</v>
      </c>
      <c r="C349" t="s">
        <v>1100</v>
      </c>
      <c r="D349" t="s">
        <v>1101</v>
      </c>
      <c r="E349" t="s">
        <v>18</v>
      </c>
      <c r="F349">
        <v>95320</v>
      </c>
      <c r="G349">
        <v>2000</v>
      </c>
      <c r="H349">
        <v>10000</v>
      </c>
      <c r="I349" t="s">
        <v>37</v>
      </c>
      <c r="K349">
        <v>1</v>
      </c>
      <c r="L349">
        <f t="shared" si="18"/>
        <v>1</v>
      </c>
      <c r="M349">
        <f t="shared" si="16"/>
        <v>6000</v>
      </c>
      <c r="N349">
        <f t="shared" si="17"/>
        <v>6000</v>
      </c>
    </row>
    <row r="350" spans="1:14">
      <c r="A350" t="s">
        <v>14</v>
      </c>
      <c r="B350" t="s">
        <v>1102</v>
      </c>
      <c r="C350" t="s">
        <v>1103</v>
      </c>
      <c r="D350" t="s">
        <v>1104</v>
      </c>
      <c r="E350" t="s">
        <v>18</v>
      </c>
      <c r="F350">
        <v>91765</v>
      </c>
      <c r="G350">
        <v>1030</v>
      </c>
      <c r="H350">
        <v>3694</v>
      </c>
      <c r="I350" t="s">
        <v>1105</v>
      </c>
      <c r="J350">
        <f>K350/12</f>
        <v>2.95</v>
      </c>
      <c r="K350">
        <v>35.4</v>
      </c>
      <c r="L350">
        <f t="shared" si="18"/>
        <v>2.95</v>
      </c>
      <c r="M350">
        <f t="shared" si="16"/>
        <v>2362</v>
      </c>
      <c r="N350">
        <f t="shared" si="17"/>
        <v>83614.8</v>
      </c>
    </row>
    <row r="351" spans="1:14">
      <c r="A351" t="s">
        <v>25</v>
      </c>
      <c r="B351" t="s">
        <v>1106</v>
      </c>
      <c r="C351" t="s">
        <v>1107</v>
      </c>
      <c r="D351" t="s">
        <v>1108</v>
      </c>
      <c r="E351" t="s">
        <v>18</v>
      </c>
      <c r="F351">
        <v>90291</v>
      </c>
      <c r="G351">
        <v>3399</v>
      </c>
      <c r="H351">
        <v>3399</v>
      </c>
      <c r="I351" t="s">
        <v>1109</v>
      </c>
      <c r="K351">
        <v>9.41</v>
      </c>
      <c r="L351">
        <f t="shared" si="18"/>
        <v>9.41</v>
      </c>
      <c r="M351">
        <f t="shared" si="16"/>
        <v>3399</v>
      </c>
      <c r="N351">
        <f t="shared" si="17"/>
        <v>31984.59</v>
      </c>
    </row>
    <row r="352" spans="1:14">
      <c r="B352" t="s">
        <v>1110</v>
      </c>
      <c r="L352">
        <f t="shared" si="18"/>
        <v>0</v>
      </c>
      <c r="M352">
        <f t="shared" si="16"/>
        <v>0</v>
      </c>
      <c r="N352">
        <f t="shared" si="17"/>
        <v>0</v>
      </c>
    </row>
    <row r="353" spans="1:14">
      <c r="A353" t="s">
        <v>14</v>
      </c>
      <c r="B353" t="s">
        <v>1111</v>
      </c>
      <c r="C353" t="s">
        <v>288</v>
      </c>
      <c r="D353" t="s">
        <v>1112</v>
      </c>
      <c r="E353" t="s">
        <v>18</v>
      </c>
      <c r="F353">
        <v>95125</v>
      </c>
      <c r="G353">
        <v>1350</v>
      </c>
      <c r="H353">
        <v>1350</v>
      </c>
      <c r="I353" t="s">
        <v>1113</v>
      </c>
      <c r="K353">
        <v>48.88</v>
      </c>
      <c r="L353">
        <f t="shared" si="18"/>
        <v>48.88</v>
      </c>
      <c r="M353">
        <f t="shared" si="16"/>
        <v>1350</v>
      </c>
      <c r="N353">
        <f t="shared" si="17"/>
        <v>65988</v>
      </c>
    </row>
    <row r="354" spans="1:14">
      <c r="A354" t="s">
        <v>14</v>
      </c>
      <c r="B354" t="s">
        <v>1114</v>
      </c>
      <c r="C354" t="s">
        <v>1115</v>
      </c>
      <c r="D354" t="s">
        <v>1116</v>
      </c>
      <c r="E354" t="s">
        <v>18</v>
      </c>
      <c r="F354">
        <v>90025</v>
      </c>
      <c r="G354">
        <v>1200</v>
      </c>
      <c r="H354">
        <v>2206</v>
      </c>
      <c r="I354" t="s">
        <v>622</v>
      </c>
      <c r="K354">
        <v>3.5</v>
      </c>
      <c r="L354">
        <f t="shared" si="18"/>
        <v>3.5</v>
      </c>
      <c r="M354">
        <f t="shared" si="16"/>
        <v>1703</v>
      </c>
      <c r="N354">
        <f t="shared" si="17"/>
        <v>5960.5</v>
      </c>
    </row>
    <row r="355" spans="1:14">
      <c r="A355" t="s">
        <v>25</v>
      </c>
      <c r="B355" t="s">
        <v>994</v>
      </c>
      <c r="C355" t="s">
        <v>995</v>
      </c>
      <c r="D355" t="s">
        <v>191</v>
      </c>
      <c r="E355" t="s">
        <v>18</v>
      </c>
      <c r="F355">
        <v>90813</v>
      </c>
      <c r="G355">
        <v>566</v>
      </c>
      <c r="H355">
        <v>566</v>
      </c>
      <c r="I355" t="s">
        <v>996</v>
      </c>
      <c r="K355">
        <v>7.02</v>
      </c>
      <c r="L355">
        <f t="shared" si="18"/>
        <v>7.02</v>
      </c>
      <c r="M355">
        <f t="shared" si="16"/>
        <v>566</v>
      </c>
      <c r="N355">
        <f t="shared" si="17"/>
        <v>3973.32</v>
      </c>
    </row>
    <row r="356" spans="1:14">
      <c r="B356" t="s">
        <v>1117</v>
      </c>
      <c r="C356" t="s">
        <v>1118</v>
      </c>
      <c r="D356" t="s">
        <v>1119</v>
      </c>
      <c r="E356" t="s">
        <v>18</v>
      </c>
      <c r="F356">
        <v>94110</v>
      </c>
      <c r="I356" t="s">
        <v>173</v>
      </c>
      <c r="K356">
        <v>2.85</v>
      </c>
      <c r="L356">
        <f t="shared" si="18"/>
        <v>2.85</v>
      </c>
      <c r="M356">
        <f t="shared" si="16"/>
        <v>0</v>
      </c>
      <c r="N356">
        <f t="shared" si="17"/>
        <v>0</v>
      </c>
    </row>
    <row r="357" spans="1:14">
      <c r="A357" t="s">
        <v>14</v>
      </c>
      <c r="B357" t="s">
        <v>1120</v>
      </c>
      <c r="C357" t="s">
        <v>1121</v>
      </c>
      <c r="D357" t="s">
        <v>1122</v>
      </c>
      <c r="E357" t="s">
        <v>18</v>
      </c>
      <c r="F357">
        <v>90046</v>
      </c>
      <c r="G357">
        <v>1000</v>
      </c>
      <c r="H357">
        <v>2000</v>
      </c>
      <c r="I357" t="s">
        <v>1123</v>
      </c>
      <c r="J357">
        <f>K357/12</f>
        <v>7.5</v>
      </c>
      <c r="K357">
        <v>90</v>
      </c>
      <c r="L357">
        <f t="shared" si="18"/>
        <v>7.5</v>
      </c>
      <c r="M357">
        <f t="shared" si="16"/>
        <v>1500</v>
      </c>
      <c r="N357">
        <f t="shared" si="17"/>
        <v>135000</v>
      </c>
    </row>
    <row r="358" spans="1:14">
      <c r="B358" t="s">
        <v>1124</v>
      </c>
      <c r="C358" t="s">
        <v>1125</v>
      </c>
      <c r="D358" t="s">
        <v>1126</v>
      </c>
      <c r="E358" t="s">
        <v>18</v>
      </c>
      <c r="F358">
        <v>93023</v>
      </c>
      <c r="I358" t="s">
        <v>1127</v>
      </c>
      <c r="K358">
        <v>2.63</v>
      </c>
      <c r="L358">
        <f t="shared" si="18"/>
        <v>2.63</v>
      </c>
      <c r="M358">
        <f t="shared" si="16"/>
        <v>0</v>
      </c>
      <c r="N358">
        <f t="shared" si="17"/>
        <v>0</v>
      </c>
    </row>
    <row r="359" spans="1:14">
      <c r="A359" t="s">
        <v>14</v>
      </c>
      <c r="B359" t="s">
        <v>1128</v>
      </c>
      <c r="C359" t="s">
        <v>1129</v>
      </c>
      <c r="D359" t="s">
        <v>1130</v>
      </c>
      <c r="E359" t="s">
        <v>18</v>
      </c>
      <c r="F359">
        <v>95814</v>
      </c>
      <c r="G359">
        <v>900</v>
      </c>
      <c r="H359">
        <v>2791</v>
      </c>
      <c r="I359" t="s">
        <v>150</v>
      </c>
      <c r="K359">
        <v>3</v>
      </c>
      <c r="L359">
        <f t="shared" si="18"/>
        <v>3</v>
      </c>
      <c r="M359">
        <f t="shared" si="16"/>
        <v>1845.5</v>
      </c>
      <c r="N359">
        <f t="shared" si="17"/>
        <v>5536.5</v>
      </c>
    </row>
    <row r="360" spans="1:14">
      <c r="A360" t="s">
        <v>25</v>
      </c>
      <c r="B360" t="s">
        <v>994</v>
      </c>
      <c r="C360" t="s">
        <v>995</v>
      </c>
      <c r="D360" t="s">
        <v>191</v>
      </c>
      <c r="E360" t="s">
        <v>18</v>
      </c>
      <c r="F360">
        <v>90813</v>
      </c>
      <c r="G360">
        <v>566</v>
      </c>
      <c r="H360">
        <v>566</v>
      </c>
      <c r="I360" t="s">
        <v>996</v>
      </c>
      <c r="K360">
        <v>7.02</v>
      </c>
      <c r="L360">
        <f t="shared" si="18"/>
        <v>7.02</v>
      </c>
      <c r="M360">
        <f t="shared" si="16"/>
        <v>566</v>
      </c>
      <c r="N360">
        <f t="shared" si="17"/>
        <v>3973.32</v>
      </c>
    </row>
    <row r="361" spans="1:14">
      <c r="A361" t="s">
        <v>25</v>
      </c>
      <c r="B361" t="s">
        <v>1131</v>
      </c>
      <c r="C361" t="s">
        <v>1132</v>
      </c>
      <c r="D361" t="s">
        <v>1133</v>
      </c>
      <c r="E361" t="s">
        <v>18</v>
      </c>
      <c r="F361">
        <v>93304</v>
      </c>
      <c r="G361">
        <v>4500</v>
      </c>
      <c r="H361">
        <v>4500</v>
      </c>
      <c r="I361" t="s">
        <v>601</v>
      </c>
      <c r="K361">
        <v>3</v>
      </c>
      <c r="L361">
        <f t="shared" si="18"/>
        <v>3</v>
      </c>
      <c r="M361">
        <f t="shared" si="16"/>
        <v>4500</v>
      </c>
      <c r="N361">
        <f t="shared" si="17"/>
        <v>13500</v>
      </c>
    </row>
    <row r="362" spans="1:14">
      <c r="A362" t="s">
        <v>14</v>
      </c>
      <c r="B362" t="s">
        <v>1134</v>
      </c>
      <c r="C362" t="s">
        <v>1135</v>
      </c>
      <c r="D362" t="s">
        <v>1136</v>
      </c>
      <c r="E362" t="s">
        <v>18</v>
      </c>
      <c r="F362">
        <v>94124</v>
      </c>
      <c r="G362">
        <v>1000</v>
      </c>
      <c r="H362">
        <v>1000</v>
      </c>
      <c r="I362" t="s">
        <v>150</v>
      </c>
      <c r="K362">
        <v>3</v>
      </c>
      <c r="L362">
        <f t="shared" si="18"/>
        <v>3</v>
      </c>
      <c r="M362">
        <f t="shared" si="16"/>
        <v>1000</v>
      </c>
      <c r="N362">
        <f t="shared" si="17"/>
        <v>3000</v>
      </c>
    </row>
    <row r="363" spans="1:14">
      <c r="A363" t="s">
        <v>14</v>
      </c>
      <c r="B363" t="s">
        <v>1137</v>
      </c>
      <c r="C363" t="s">
        <v>1138</v>
      </c>
      <c r="D363" t="s">
        <v>1139</v>
      </c>
      <c r="E363" t="s">
        <v>18</v>
      </c>
      <c r="F363">
        <v>90717</v>
      </c>
      <c r="G363">
        <v>1010</v>
      </c>
      <c r="H363">
        <v>1250</v>
      </c>
      <c r="I363" t="s">
        <v>601</v>
      </c>
      <c r="K363">
        <v>3</v>
      </c>
      <c r="L363">
        <f t="shared" si="18"/>
        <v>3</v>
      </c>
      <c r="M363">
        <f t="shared" si="16"/>
        <v>1130</v>
      </c>
      <c r="N363">
        <f t="shared" si="17"/>
        <v>3390</v>
      </c>
    </row>
    <row r="364" spans="1:14">
      <c r="A364" t="s">
        <v>14</v>
      </c>
      <c r="B364" t="s">
        <v>1140</v>
      </c>
      <c r="C364" t="s">
        <v>1141</v>
      </c>
      <c r="D364" t="s">
        <v>1142</v>
      </c>
      <c r="E364" t="s">
        <v>18</v>
      </c>
      <c r="F364">
        <v>90065</v>
      </c>
      <c r="G364">
        <v>5138</v>
      </c>
      <c r="H364">
        <v>5138</v>
      </c>
      <c r="I364" t="s">
        <v>169</v>
      </c>
      <c r="K364">
        <v>2.25</v>
      </c>
      <c r="L364">
        <f t="shared" si="18"/>
        <v>2.25</v>
      </c>
      <c r="M364">
        <f t="shared" si="16"/>
        <v>5138</v>
      </c>
      <c r="N364">
        <f t="shared" si="17"/>
        <v>11560.5</v>
      </c>
    </row>
    <row r="365" spans="1:14">
      <c r="A365" t="s">
        <v>14</v>
      </c>
      <c r="B365" t="s">
        <v>1143</v>
      </c>
      <c r="C365" t="s">
        <v>1144</v>
      </c>
      <c r="D365" t="s">
        <v>1145</v>
      </c>
      <c r="E365" t="s">
        <v>18</v>
      </c>
      <c r="F365">
        <v>91780</v>
      </c>
      <c r="G365">
        <v>1000</v>
      </c>
      <c r="H365">
        <v>1000</v>
      </c>
      <c r="I365" t="s">
        <v>200</v>
      </c>
      <c r="K365">
        <v>2.5</v>
      </c>
      <c r="L365">
        <f t="shared" si="18"/>
        <v>2.5</v>
      </c>
      <c r="M365">
        <f t="shared" si="16"/>
        <v>1000</v>
      </c>
      <c r="N365">
        <f t="shared" si="17"/>
        <v>2500</v>
      </c>
    </row>
    <row r="366" spans="1:14">
      <c r="A366" t="s">
        <v>25</v>
      </c>
      <c r="B366" t="s">
        <v>994</v>
      </c>
      <c r="C366" t="s">
        <v>995</v>
      </c>
      <c r="D366" t="s">
        <v>191</v>
      </c>
      <c r="E366" t="s">
        <v>18</v>
      </c>
      <c r="F366">
        <v>90813</v>
      </c>
      <c r="G366">
        <v>566</v>
      </c>
      <c r="H366">
        <v>566</v>
      </c>
      <c r="I366" t="s">
        <v>996</v>
      </c>
      <c r="K366">
        <v>7.02</v>
      </c>
      <c r="L366">
        <f t="shared" si="18"/>
        <v>7.02</v>
      </c>
      <c r="M366">
        <f t="shared" si="16"/>
        <v>566</v>
      </c>
      <c r="N366">
        <f t="shared" si="17"/>
        <v>3973.32</v>
      </c>
    </row>
    <row r="367" spans="1:14">
      <c r="A367" t="s">
        <v>25</v>
      </c>
      <c r="B367" t="s">
        <v>1146</v>
      </c>
      <c r="C367" t="s">
        <v>1147</v>
      </c>
      <c r="D367" t="s">
        <v>1148</v>
      </c>
      <c r="E367" t="s">
        <v>18</v>
      </c>
      <c r="F367">
        <v>95472</v>
      </c>
      <c r="G367">
        <v>3100</v>
      </c>
      <c r="H367">
        <v>3100</v>
      </c>
      <c r="I367" t="s">
        <v>559</v>
      </c>
      <c r="K367">
        <v>2.1</v>
      </c>
      <c r="L367">
        <f t="shared" si="18"/>
        <v>2.1</v>
      </c>
      <c r="M367">
        <f t="shared" si="16"/>
        <v>3100</v>
      </c>
      <c r="N367">
        <f t="shared" si="17"/>
        <v>6510</v>
      </c>
    </row>
    <row r="368" spans="1:14">
      <c r="A368" t="s">
        <v>25</v>
      </c>
      <c r="B368" t="s">
        <v>994</v>
      </c>
      <c r="C368" t="s">
        <v>995</v>
      </c>
      <c r="D368" t="s">
        <v>191</v>
      </c>
      <c r="E368" t="s">
        <v>18</v>
      </c>
      <c r="F368">
        <v>90813</v>
      </c>
      <c r="G368">
        <v>579</v>
      </c>
      <c r="H368">
        <v>579</v>
      </c>
      <c r="I368" t="s">
        <v>996</v>
      </c>
      <c r="K368">
        <v>7.02</v>
      </c>
      <c r="L368">
        <f t="shared" si="18"/>
        <v>7.02</v>
      </c>
      <c r="M368">
        <f t="shared" si="16"/>
        <v>579</v>
      </c>
      <c r="N368">
        <f t="shared" si="17"/>
        <v>4064.58</v>
      </c>
    </row>
    <row r="369" spans="1:14">
      <c r="B369" t="s">
        <v>1149</v>
      </c>
      <c r="C369" t="s">
        <v>1150</v>
      </c>
      <c r="D369" t="s">
        <v>1151</v>
      </c>
      <c r="E369" t="s">
        <v>18</v>
      </c>
      <c r="F369">
        <v>92410</v>
      </c>
      <c r="I369" t="s">
        <v>1152</v>
      </c>
      <c r="K369">
        <v>1.5</v>
      </c>
      <c r="L369">
        <f t="shared" si="18"/>
        <v>1.5</v>
      </c>
      <c r="M369">
        <f t="shared" si="16"/>
        <v>0</v>
      </c>
      <c r="N369">
        <f t="shared" si="17"/>
        <v>0</v>
      </c>
    </row>
    <row r="370" spans="1:14">
      <c r="A370" t="s">
        <v>14</v>
      </c>
      <c r="B370" t="s">
        <v>1153</v>
      </c>
      <c r="C370" t="s">
        <v>1154</v>
      </c>
      <c r="D370" t="s">
        <v>1155</v>
      </c>
      <c r="E370" t="s">
        <v>18</v>
      </c>
      <c r="F370">
        <v>95136</v>
      </c>
      <c r="G370">
        <v>1200</v>
      </c>
      <c r="H370">
        <v>1800</v>
      </c>
      <c r="I370" t="s">
        <v>1156</v>
      </c>
      <c r="J370">
        <f>K370/12</f>
        <v>0.216666666666667</v>
      </c>
      <c r="K370">
        <v>2.6</v>
      </c>
      <c r="L370">
        <f t="shared" si="18"/>
        <v>0.216666666666667</v>
      </c>
      <c r="M370">
        <f t="shared" si="16"/>
        <v>1500</v>
      </c>
      <c r="N370">
        <f t="shared" si="17"/>
        <v>3900</v>
      </c>
    </row>
    <row r="371" spans="1:14">
      <c r="A371" t="s">
        <v>14</v>
      </c>
      <c r="B371" t="s">
        <v>1157</v>
      </c>
      <c r="C371" t="s">
        <v>1158</v>
      </c>
      <c r="D371" t="s">
        <v>1159</v>
      </c>
      <c r="E371" t="s">
        <v>18</v>
      </c>
      <c r="F371">
        <v>90220</v>
      </c>
      <c r="G371">
        <v>500</v>
      </c>
      <c r="H371">
        <v>1650</v>
      </c>
      <c r="I371" t="s">
        <v>1160</v>
      </c>
      <c r="K371">
        <v>9.57</v>
      </c>
      <c r="L371">
        <f t="shared" si="18"/>
        <v>9.57</v>
      </c>
      <c r="M371">
        <f t="shared" si="16"/>
        <v>1075</v>
      </c>
      <c r="N371">
        <f t="shared" si="17"/>
        <v>10287.75</v>
      </c>
    </row>
    <row r="372" spans="1:14">
      <c r="A372" t="s">
        <v>14</v>
      </c>
      <c r="B372" t="s">
        <v>1161</v>
      </c>
      <c r="C372" t="s">
        <v>316</v>
      </c>
      <c r="D372" t="s">
        <v>1162</v>
      </c>
      <c r="E372" t="s">
        <v>18</v>
      </c>
      <c r="F372">
        <v>93561</v>
      </c>
      <c r="G372">
        <v>1800</v>
      </c>
      <c r="H372">
        <v>6000</v>
      </c>
      <c r="I372" t="s">
        <v>37</v>
      </c>
      <c r="K372">
        <v>1</v>
      </c>
      <c r="L372">
        <f t="shared" si="18"/>
        <v>1</v>
      </c>
      <c r="M372">
        <f t="shared" si="16"/>
        <v>3900</v>
      </c>
      <c r="N372">
        <f t="shared" si="17"/>
        <v>3900</v>
      </c>
    </row>
    <row r="373" spans="1:14">
      <c r="A373" t="s">
        <v>14</v>
      </c>
      <c r="B373" t="s">
        <v>1163</v>
      </c>
      <c r="C373" t="s">
        <v>1164</v>
      </c>
      <c r="D373" t="s">
        <v>1165</v>
      </c>
      <c r="E373" t="s">
        <v>18</v>
      </c>
      <c r="F373">
        <v>95811</v>
      </c>
      <c r="G373">
        <v>400</v>
      </c>
      <c r="H373">
        <v>1765</v>
      </c>
      <c r="I373" t="s">
        <v>1166</v>
      </c>
      <c r="K373">
        <v>2.995</v>
      </c>
      <c r="L373">
        <f t="shared" si="18"/>
        <v>2.995</v>
      </c>
      <c r="M373">
        <f t="shared" si="16"/>
        <v>1082.5</v>
      </c>
      <c r="N373">
        <f t="shared" si="17"/>
        <v>3242.0875</v>
      </c>
    </row>
    <row r="374" spans="1:14">
      <c r="A374" t="s">
        <v>14</v>
      </c>
      <c r="B374" t="s">
        <v>1167</v>
      </c>
      <c r="C374" t="s">
        <v>1168</v>
      </c>
      <c r="D374" t="s">
        <v>1169</v>
      </c>
      <c r="E374" t="s">
        <v>18</v>
      </c>
      <c r="F374">
        <v>95023</v>
      </c>
      <c r="G374">
        <v>10000</v>
      </c>
      <c r="H374">
        <v>10000</v>
      </c>
      <c r="I374" t="s">
        <v>37</v>
      </c>
      <c r="K374">
        <v>1</v>
      </c>
      <c r="L374">
        <f t="shared" si="18"/>
        <v>1</v>
      </c>
      <c r="M374">
        <f t="shared" si="16"/>
        <v>10000</v>
      </c>
      <c r="N374">
        <f t="shared" si="17"/>
        <v>10000</v>
      </c>
    </row>
    <row r="375" spans="1:14">
      <c r="A375" t="s">
        <v>14</v>
      </c>
      <c r="B375" t="s">
        <v>1170</v>
      </c>
      <c r="C375" t="s">
        <v>1171</v>
      </c>
      <c r="D375" t="s">
        <v>1066</v>
      </c>
      <c r="E375" t="s">
        <v>18</v>
      </c>
      <c r="F375">
        <v>93720</v>
      </c>
      <c r="G375">
        <v>1743</v>
      </c>
      <c r="H375">
        <v>1743</v>
      </c>
      <c r="I375" t="s">
        <v>1067</v>
      </c>
      <c r="K375">
        <v>1.9</v>
      </c>
      <c r="L375">
        <f t="shared" si="18"/>
        <v>1.9</v>
      </c>
      <c r="M375">
        <f t="shared" si="16"/>
        <v>1743</v>
      </c>
      <c r="N375">
        <f t="shared" si="17"/>
        <v>3311.7</v>
      </c>
    </row>
    <row r="376" spans="1:14">
      <c r="A376" t="s">
        <v>14</v>
      </c>
      <c r="B376" t="s">
        <v>1172</v>
      </c>
      <c r="C376" t="s">
        <v>1173</v>
      </c>
      <c r="D376" t="s">
        <v>72</v>
      </c>
      <c r="E376" t="s">
        <v>18</v>
      </c>
      <c r="F376">
        <v>90015</v>
      </c>
      <c r="G376">
        <v>6000</v>
      </c>
      <c r="H376">
        <v>6000</v>
      </c>
      <c r="I376" t="s">
        <v>1174</v>
      </c>
      <c r="J376">
        <f>K376/12</f>
        <v>0.180833333333333</v>
      </c>
      <c r="K376">
        <v>2.17</v>
      </c>
      <c r="L376">
        <f t="shared" si="18"/>
        <v>0.180833333333333</v>
      </c>
      <c r="M376">
        <f t="shared" si="16"/>
        <v>6000</v>
      </c>
      <c r="N376">
        <f t="shared" si="17"/>
        <v>13020</v>
      </c>
    </row>
    <row r="377" spans="1:14">
      <c r="A377" t="s">
        <v>14</v>
      </c>
      <c r="B377" t="s">
        <v>1175</v>
      </c>
      <c r="C377" t="s">
        <v>1176</v>
      </c>
      <c r="D377" t="s">
        <v>1177</v>
      </c>
      <c r="E377" t="s">
        <v>18</v>
      </c>
      <c r="F377">
        <v>94577</v>
      </c>
      <c r="G377">
        <v>13484</v>
      </c>
      <c r="H377">
        <v>13484</v>
      </c>
      <c r="I377" t="s">
        <v>1178</v>
      </c>
      <c r="J377">
        <f>K377/12</f>
        <v>0.108333333333333</v>
      </c>
      <c r="K377">
        <v>1.3</v>
      </c>
      <c r="L377">
        <f t="shared" si="18"/>
        <v>0.108333333333333</v>
      </c>
      <c r="M377">
        <f t="shared" si="16"/>
        <v>13484</v>
      </c>
      <c r="N377">
        <f t="shared" si="17"/>
        <v>17529.2</v>
      </c>
    </row>
    <row r="378" spans="1:14">
      <c r="B378" t="s">
        <v>1179</v>
      </c>
      <c r="C378" t="s">
        <v>1180</v>
      </c>
      <c r="D378" t="s">
        <v>1181</v>
      </c>
      <c r="E378" t="s">
        <v>18</v>
      </c>
      <c r="F378">
        <v>91702</v>
      </c>
      <c r="I378" t="s">
        <v>1182</v>
      </c>
      <c r="K378">
        <v>1.77</v>
      </c>
      <c r="L378">
        <f t="shared" si="18"/>
        <v>1.77</v>
      </c>
      <c r="M378">
        <f t="shared" si="16"/>
        <v>0</v>
      </c>
      <c r="N378">
        <f t="shared" si="17"/>
        <v>0</v>
      </c>
    </row>
    <row r="379" spans="1:14">
      <c r="A379" t="s">
        <v>14</v>
      </c>
      <c r="B379" t="s">
        <v>1183</v>
      </c>
      <c r="C379" t="s">
        <v>1184</v>
      </c>
      <c r="D379" t="s">
        <v>1139</v>
      </c>
      <c r="E379" t="s">
        <v>18</v>
      </c>
      <c r="F379">
        <v>90717</v>
      </c>
      <c r="G379">
        <v>1600</v>
      </c>
      <c r="H379">
        <v>1600</v>
      </c>
      <c r="I379" t="s">
        <v>65</v>
      </c>
      <c r="K379">
        <v>2</v>
      </c>
      <c r="L379">
        <f t="shared" si="18"/>
        <v>2</v>
      </c>
      <c r="M379">
        <f t="shared" si="16"/>
        <v>1600</v>
      </c>
      <c r="N379">
        <f t="shared" si="17"/>
        <v>3200</v>
      </c>
    </row>
    <row r="380" spans="1:14">
      <c r="A380" t="s">
        <v>14</v>
      </c>
      <c r="B380" t="s">
        <v>1185</v>
      </c>
      <c r="C380" t="s">
        <v>1186</v>
      </c>
      <c r="D380" t="s">
        <v>1187</v>
      </c>
      <c r="E380" t="s">
        <v>18</v>
      </c>
      <c r="F380">
        <v>91377</v>
      </c>
      <c r="G380">
        <v>3300</v>
      </c>
      <c r="H380">
        <v>3300</v>
      </c>
      <c r="I380" t="s">
        <v>169</v>
      </c>
      <c r="K380">
        <v>2.25</v>
      </c>
      <c r="L380">
        <f t="shared" si="18"/>
        <v>2.25</v>
      </c>
      <c r="M380">
        <f t="shared" si="16"/>
        <v>3300</v>
      </c>
      <c r="N380">
        <f t="shared" si="17"/>
        <v>7425</v>
      </c>
    </row>
    <row r="381" spans="1:14">
      <c r="A381" t="s">
        <v>14</v>
      </c>
      <c r="B381" t="s">
        <v>1188</v>
      </c>
      <c r="C381" t="s">
        <v>1189</v>
      </c>
      <c r="D381" t="s">
        <v>453</v>
      </c>
      <c r="E381" t="s">
        <v>18</v>
      </c>
      <c r="F381">
        <v>90026</v>
      </c>
      <c r="G381">
        <v>840</v>
      </c>
      <c r="H381">
        <v>840</v>
      </c>
      <c r="I381" t="s">
        <v>490</v>
      </c>
      <c r="K381">
        <v>8</v>
      </c>
      <c r="L381">
        <f t="shared" si="18"/>
        <v>8</v>
      </c>
      <c r="M381">
        <f t="shared" si="16"/>
        <v>840</v>
      </c>
      <c r="N381">
        <f t="shared" si="17"/>
        <v>6720</v>
      </c>
    </row>
    <row r="382" spans="1:14">
      <c r="A382" t="s">
        <v>1020</v>
      </c>
      <c r="B382" t="s">
        <v>994</v>
      </c>
      <c r="C382" t="s">
        <v>995</v>
      </c>
      <c r="D382" t="s">
        <v>191</v>
      </c>
      <c r="E382" t="s">
        <v>18</v>
      </c>
      <c r="F382">
        <v>90813</v>
      </c>
      <c r="G382">
        <v>566</v>
      </c>
      <c r="H382">
        <v>566</v>
      </c>
      <c r="I382" t="s">
        <v>996</v>
      </c>
      <c r="K382">
        <v>7.02</v>
      </c>
      <c r="L382">
        <f t="shared" si="18"/>
        <v>7.02</v>
      </c>
      <c r="M382">
        <f t="shared" si="16"/>
        <v>566</v>
      </c>
      <c r="N382">
        <f t="shared" si="17"/>
        <v>3973.32</v>
      </c>
    </row>
    <row r="383" spans="1:14">
      <c r="A383" t="s">
        <v>14</v>
      </c>
      <c r="B383" t="s">
        <v>1190</v>
      </c>
      <c r="C383" t="s">
        <v>1191</v>
      </c>
      <c r="D383" t="s">
        <v>195</v>
      </c>
      <c r="E383" t="s">
        <v>18</v>
      </c>
      <c r="F383">
        <v>93703</v>
      </c>
      <c r="G383">
        <v>1872</v>
      </c>
      <c r="H383">
        <v>1872</v>
      </c>
      <c r="I383" t="s">
        <v>378</v>
      </c>
      <c r="K383">
        <v>1.87</v>
      </c>
      <c r="L383">
        <f t="shared" si="18"/>
        <v>1.87</v>
      </c>
      <c r="M383">
        <f t="shared" si="16"/>
        <v>1872</v>
      </c>
      <c r="N383">
        <f t="shared" si="17"/>
        <v>3500.64</v>
      </c>
    </row>
    <row r="384" spans="1:14">
      <c r="A384" t="s">
        <v>14</v>
      </c>
      <c r="B384" t="s">
        <v>1192</v>
      </c>
      <c r="C384" t="s">
        <v>328</v>
      </c>
      <c r="D384" t="s">
        <v>1193</v>
      </c>
      <c r="E384" t="s">
        <v>18</v>
      </c>
      <c r="F384">
        <v>90028</v>
      </c>
      <c r="G384">
        <v>800</v>
      </c>
      <c r="H384">
        <v>3000</v>
      </c>
      <c r="I384" t="s">
        <v>290</v>
      </c>
      <c r="K384">
        <v>4</v>
      </c>
      <c r="L384">
        <f t="shared" si="18"/>
        <v>4</v>
      </c>
      <c r="M384">
        <f t="shared" si="16"/>
        <v>1900</v>
      </c>
      <c r="N384">
        <f t="shared" si="17"/>
        <v>7600</v>
      </c>
    </row>
    <row r="385" spans="1:14">
      <c r="A385" t="s">
        <v>14</v>
      </c>
      <c r="B385" t="s">
        <v>1194</v>
      </c>
      <c r="C385" t="s">
        <v>1195</v>
      </c>
      <c r="D385" t="s">
        <v>1196</v>
      </c>
      <c r="E385" t="s">
        <v>18</v>
      </c>
      <c r="F385">
        <v>90249</v>
      </c>
      <c r="G385">
        <v>800</v>
      </c>
      <c r="H385">
        <v>4000</v>
      </c>
      <c r="I385" t="s">
        <v>136</v>
      </c>
      <c r="K385">
        <v>3.375</v>
      </c>
      <c r="L385">
        <f t="shared" si="18"/>
        <v>3.375</v>
      </c>
      <c r="M385">
        <f t="shared" si="16"/>
        <v>2400</v>
      </c>
      <c r="N385">
        <f t="shared" si="17"/>
        <v>8100</v>
      </c>
    </row>
    <row r="386" spans="1:14">
      <c r="A386" t="s">
        <v>14</v>
      </c>
      <c r="B386" t="s">
        <v>1197</v>
      </c>
      <c r="C386" t="s">
        <v>292</v>
      </c>
      <c r="D386" t="s">
        <v>1198</v>
      </c>
      <c r="E386" t="s">
        <v>18</v>
      </c>
      <c r="F386">
        <v>91362</v>
      </c>
      <c r="G386">
        <v>2405</v>
      </c>
      <c r="H386">
        <v>2405</v>
      </c>
      <c r="I386" t="s">
        <v>1199</v>
      </c>
      <c r="K386">
        <v>3.8</v>
      </c>
      <c r="L386">
        <f t="shared" si="18"/>
        <v>3.8</v>
      </c>
      <c r="M386">
        <f t="shared" si="16"/>
        <v>2405</v>
      </c>
      <c r="N386">
        <f t="shared" si="17"/>
        <v>9139</v>
      </c>
    </row>
    <row r="387" spans="1:14">
      <c r="B387" t="s">
        <v>1200</v>
      </c>
      <c r="C387" t="s">
        <v>1201</v>
      </c>
      <c r="D387" t="s">
        <v>1202</v>
      </c>
      <c r="E387" t="s">
        <v>18</v>
      </c>
      <c r="F387">
        <v>91505</v>
      </c>
      <c r="I387" t="s">
        <v>200</v>
      </c>
      <c r="K387">
        <v>2.5</v>
      </c>
      <c r="L387">
        <f t="shared" si="18"/>
        <v>2.5</v>
      </c>
      <c r="M387">
        <f t="shared" ref="M387:M427" si="19">(G387+H387)/2</f>
        <v>0</v>
      </c>
      <c r="N387">
        <f t="shared" ref="N387:N427" si="20">M387*K387</f>
        <v>0</v>
      </c>
    </row>
    <row r="388" spans="1:14">
      <c r="A388" t="s">
        <v>14</v>
      </c>
      <c r="B388" t="s">
        <v>994</v>
      </c>
      <c r="C388" t="s">
        <v>995</v>
      </c>
      <c r="D388" t="s">
        <v>191</v>
      </c>
      <c r="E388" t="s">
        <v>18</v>
      </c>
      <c r="F388">
        <v>90813</v>
      </c>
      <c r="G388">
        <v>566</v>
      </c>
      <c r="H388">
        <v>566</v>
      </c>
      <c r="I388" t="s">
        <v>996</v>
      </c>
      <c r="K388">
        <v>7.02</v>
      </c>
      <c r="L388">
        <f t="shared" si="18"/>
        <v>7.02</v>
      </c>
      <c r="M388">
        <f t="shared" si="19"/>
        <v>566</v>
      </c>
      <c r="N388">
        <f t="shared" si="20"/>
        <v>3973.32</v>
      </c>
    </row>
    <row r="389" spans="1:14">
      <c r="A389" t="s">
        <v>25</v>
      </c>
      <c r="B389" t="s">
        <v>994</v>
      </c>
      <c r="C389" t="s">
        <v>995</v>
      </c>
      <c r="D389" t="s">
        <v>191</v>
      </c>
      <c r="E389" t="s">
        <v>18</v>
      </c>
      <c r="F389">
        <v>90813</v>
      </c>
      <c r="G389">
        <v>566</v>
      </c>
      <c r="H389">
        <v>566</v>
      </c>
      <c r="I389" t="s">
        <v>996</v>
      </c>
      <c r="K389">
        <v>7.02</v>
      </c>
      <c r="L389">
        <f t="shared" si="18"/>
        <v>7.02</v>
      </c>
      <c r="M389">
        <f t="shared" si="19"/>
        <v>566</v>
      </c>
      <c r="N389">
        <f t="shared" si="20"/>
        <v>3973.32</v>
      </c>
    </row>
    <row r="390" spans="1:14">
      <c r="A390" t="s">
        <v>1203</v>
      </c>
      <c r="B390" t="s">
        <v>994</v>
      </c>
      <c r="C390" t="s">
        <v>995</v>
      </c>
      <c r="D390" t="s">
        <v>191</v>
      </c>
      <c r="E390" t="s">
        <v>18</v>
      </c>
      <c r="F390">
        <v>90813</v>
      </c>
      <c r="G390">
        <v>566</v>
      </c>
      <c r="H390">
        <v>566</v>
      </c>
      <c r="I390" t="s">
        <v>996</v>
      </c>
      <c r="K390">
        <v>7.02</v>
      </c>
      <c r="L390">
        <f t="shared" ref="L390:L427" si="21">IF(J390="",K390,J390)</f>
        <v>7.02</v>
      </c>
      <c r="M390">
        <f t="shared" si="19"/>
        <v>566</v>
      </c>
      <c r="N390">
        <f t="shared" si="20"/>
        <v>3973.32</v>
      </c>
    </row>
    <row r="391" spans="1:14">
      <c r="A391" t="s">
        <v>14</v>
      </c>
      <c r="B391" t="s">
        <v>1204</v>
      </c>
      <c r="C391" t="s">
        <v>1205</v>
      </c>
      <c r="D391" t="s">
        <v>1206</v>
      </c>
      <c r="E391" t="s">
        <v>18</v>
      </c>
      <c r="F391">
        <v>90057</v>
      </c>
      <c r="G391">
        <v>1362</v>
      </c>
      <c r="H391">
        <v>1620</v>
      </c>
      <c r="I391" t="s">
        <v>1207</v>
      </c>
      <c r="K391">
        <v>3.625</v>
      </c>
      <c r="L391">
        <f t="shared" si="21"/>
        <v>3.625</v>
      </c>
      <c r="M391">
        <f t="shared" si="19"/>
        <v>1491</v>
      </c>
      <c r="N391">
        <f t="shared" si="20"/>
        <v>5404.875</v>
      </c>
    </row>
    <row r="392" spans="1:14">
      <c r="A392" t="s">
        <v>25</v>
      </c>
      <c r="B392" t="s">
        <v>994</v>
      </c>
      <c r="C392" t="s">
        <v>995</v>
      </c>
      <c r="D392" t="s">
        <v>191</v>
      </c>
      <c r="E392" t="s">
        <v>18</v>
      </c>
      <c r="F392">
        <v>90813</v>
      </c>
      <c r="G392">
        <v>566</v>
      </c>
      <c r="H392">
        <v>566</v>
      </c>
      <c r="I392" t="s">
        <v>996</v>
      </c>
      <c r="K392">
        <v>7.02</v>
      </c>
      <c r="L392">
        <f t="shared" si="21"/>
        <v>7.02</v>
      </c>
      <c r="M392">
        <f t="shared" si="19"/>
        <v>566</v>
      </c>
      <c r="N392">
        <f t="shared" si="20"/>
        <v>3973.32</v>
      </c>
    </row>
    <row r="393" spans="1:14">
      <c r="A393" t="s">
        <v>14</v>
      </c>
      <c r="B393" t="s">
        <v>1208</v>
      </c>
      <c r="C393" t="s">
        <v>1209</v>
      </c>
      <c r="D393" t="s">
        <v>1210</v>
      </c>
      <c r="E393" t="s">
        <v>18</v>
      </c>
      <c r="F393">
        <v>93635</v>
      </c>
      <c r="G393">
        <v>7500</v>
      </c>
      <c r="H393">
        <v>7500</v>
      </c>
      <c r="I393" t="s">
        <v>82</v>
      </c>
      <c r="K393">
        <v>1.2</v>
      </c>
      <c r="L393">
        <f t="shared" si="21"/>
        <v>1.2</v>
      </c>
      <c r="M393">
        <f t="shared" si="19"/>
        <v>7500</v>
      </c>
      <c r="N393">
        <f t="shared" si="20"/>
        <v>9000</v>
      </c>
    </row>
    <row r="394" spans="1:14">
      <c r="A394" t="s">
        <v>14</v>
      </c>
      <c r="B394" t="s">
        <v>1211</v>
      </c>
      <c r="C394" t="s">
        <v>1212</v>
      </c>
      <c r="D394" t="s">
        <v>72</v>
      </c>
      <c r="E394" t="s">
        <v>18</v>
      </c>
      <c r="F394">
        <v>90015</v>
      </c>
      <c r="G394">
        <v>1880</v>
      </c>
      <c r="H394">
        <v>1880</v>
      </c>
      <c r="I394" t="s">
        <v>33</v>
      </c>
      <c r="K394">
        <v>4.5</v>
      </c>
      <c r="L394">
        <f t="shared" si="21"/>
        <v>4.5</v>
      </c>
      <c r="M394">
        <f t="shared" si="19"/>
        <v>1880</v>
      </c>
      <c r="N394">
        <f t="shared" si="20"/>
        <v>8460</v>
      </c>
    </row>
    <row r="395" spans="1:14">
      <c r="A395" t="s">
        <v>14</v>
      </c>
      <c r="B395" t="s">
        <v>1213</v>
      </c>
      <c r="C395" t="s">
        <v>1214</v>
      </c>
      <c r="D395" t="s">
        <v>1215</v>
      </c>
      <c r="E395" t="s">
        <v>18</v>
      </c>
      <c r="F395">
        <v>94102</v>
      </c>
      <c r="G395">
        <v>750</v>
      </c>
      <c r="H395">
        <v>2200</v>
      </c>
      <c r="I395" t="s">
        <v>1216</v>
      </c>
      <c r="J395">
        <f>K395/12</f>
        <v>4</v>
      </c>
      <c r="K395">
        <v>48</v>
      </c>
      <c r="L395">
        <f t="shared" si="21"/>
        <v>4</v>
      </c>
      <c r="M395">
        <f t="shared" si="19"/>
        <v>1475</v>
      </c>
      <c r="N395">
        <f t="shared" si="20"/>
        <v>70800</v>
      </c>
    </row>
    <row r="396" spans="1:14">
      <c r="A396" t="s">
        <v>25</v>
      </c>
      <c r="B396" t="s">
        <v>994</v>
      </c>
      <c r="C396" t="s">
        <v>995</v>
      </c>
      <c r="D396" t="s">
        <v>191</v>
      </c>
      <c r="E396" t="s">
        <v>18</v>
      </c>
      <c r="F396">
        <v>90813</v>
      </c>
      <c r="G396">
        <v>566</v>
      </c>
      <c r="H396">
        <v>566</v>
      </c>
      <c r="I396" t="s">
        <v>996</v>
      </c>
      <c r="K396">
        <v>7.02</v>
      </c>
      <c r="L396">
        <f t="shared" si="21"/>
        <v>7.02</v>
      </c>
      <c r="M396">
        <f t="shared" si="19"/>
        <v>566</v>
      </c>
      <c r="N396">
        <f t="shared" si="20"/>
        <v>3973.32</v>
      </c>
    </row>
    <row r="397" spans="1:14">
      <c r="A397" t="s">
        <v>14</v>
      </c>
      <c r="B397" t="s">
        <v>1217</v>
      </c>
      <c r="C397" t="s">
        <v>1218</v>
      </c>
      <c r="D397" t="s">
        <v>1219</v>
      </c>
      <c r="E397" t="s">
        <v>18</v>
      </c>
      <c r="F397">
        <v>91710</v>
      </c>
      <c r="G397">
        <v>1600</v>
      </c>
      <c r="H397">
        <v>1600</v>
      </c>
      <c r="I397" t="s">
        <v>362</v>
      </c>
      <c r="K397">
        <v>3.15</v>
      </c>
      <c r="L397">
        <f t="shared" si="21"/>
        <v>3.15</v>
      </c>
      <c r="M397">
        <f t="shared" si="19"/>
        <v>1600</v>
      </c>
      <c r="N397">
        <f t="shared" si="20"/>
        <v>5040</v>
      </c>
    </row>
    <row r="398" spans="1:14">
      <c r="A398" t="s">
        <v>14</v>
      </c>
      <c r="B398" t="s">
        <v>1220</v>
      </c>
      <c r="C398" t="s">
        <v>1221</v>
      </c>
      <c r="D398" t="s">
        <v>1222</v>
      </c>
      <c r="E398" t="s">
        <v>18</v>
      </c>
      <c r="F398">
        <v>94596</v>
      </c>
      <c r="G398">
        <v>656</v>
      </c>
      <c r="H398">
        <v>1553</v>
      </c>
      <c r="I398" t="s">
        <v>1223</v>
      </c>
      <c r="K398">
        <v>3.85</v>
      </c>
      <c r="L398">
        <f t="shared" si="21"/>
        <v>3.85</v>
      </c>
      <c r="M398">
        <f t="shared" si="19"/>
        <v>1104.5</v>
      </c>
      <c r="N398">
        <f t="shared" si="20"/>
        <v>4252.325</v>
      </c>
    </row>
    <row r="399" spans="1:14">
      <c r="A399" t="s">
        <v>14</v>
      </c>
      <c r="B399" t="s">
        <v>1224</v>
      </c>
      <c r="C399" t="s">
        <v>1225</v>
      </c>
      <c r="D399" t="s">
        <v>1226</v>
      </c>
      <c r="E399" t="s">
        <v>18</v>
      </c>
      <c r="F399">
        <v>92821</v>
      </c>
      <c r="G399">
        <v>759</v>
      </c>
      <c r="H399">
        <v>27397</v>
      </c>
      <c r="I399" t="s">
        <v>60</v>
      </c>
      <c r="K399">
        <v>1.75</v>
      </c>
      <c r="L399">
        <f t="shared" si="21"/>
        <v>1.75</v>
      </c>
      <c r="M399">
        <f t="shared" si="19"/>
        <v>14078</v>
      </c>
      <c r="N399">
        <f t="shared" si="20"/>
        <v>24636.5</v>
      </c>
    </row>
    <row r="400" spans="1:14">
      <c r="A400" t="s">
        <v>25</v>
      </c>
      <c r="B400" t="s">
        <v>994</v>
      </c>
      <c r="C400" t="s">
        <v>995</v>
      </c>
      <c r="D400" t="s">
        <v>191</v>
      </c>
      <c r="E400" t="s">
        <v>18</v>
      </c>
      <c r="F400">
        <v>90813</v>
      </c>
      <c r="G400">
        <v>566</v>
      </c>
      <c r="H400">
        <v>566</v>
      </c>
      <c r="I400" t="s">
        <v>996</v>
      </c>
      <c r="K400">
        <v>7.02</v>
      </c>
      <c r="L400">
        <f t="shared" si="21"/>
        <v>7.02</v>
      </c>
      <c r="M400">
        <f t="shared" si="19"/>
        <v>566</v>
      </c>
      <c r="N400">
        <f t="shared" si="20"/>
        <v>3973.32</v>
      </c>
    </row>
    <row r="401" spans="1:14">
      <c r="A401" t="s">
        <v>25</v>
      </c>
      <c r="B401" t="s">
        <v>1227</v>
      </c>
      <c r="C401" t="s">
        <v>1228</v>
      </c>
      <c r="D401" t="s">
        <v>1229</v>
      </c>
      <c r="E401" t="s">
        <v>18</v>
      </c>
      <c r="F401">
        <v>95670</v>
      </c>
      <c r="G401">
        <v>1550</v>
      </c>
      <c r="H401">
        <v>1550</v>
      </c>
      <c r="I401" t="s">
        <v>69</v>
      </c>
      <c r="K401">
        <v>2.45</v>
      </c>
      <c r="L401">
        <f t="shared" si="21"/>
        <v>2.45</v>
      </c>
      <c r="M401">
        <f t="shared" si="19"/>
        <v>1550</v>
      </c>
      <c r="N401">
        <f t="shared" si="20"/>
        <v>3797.5</v>
      </c>
    </row>
    <row r="402" spans="1:14">
      <c r="A402" t="s">
        <v>14</v>
      </c>
      <c r="B402" t="s">
        <v>1230</v>
      </c>
      <c r="C402" t="s">
        <v>1231</v>
      </c>
      <c r="D402" t="s">
        <v>1232</v>
      </c>
      <c r="E402" t="s">
        <v>18</v>
      </c>
      <c r="F402">
        <v>92506</v>
      </c>
      <c r="G402">
        <v>380</v>
      </c>
      <c r="H402">
        <v>430</v>
      </c>
      <c r="I402" t="s">
        <v>1233</v>
      </c>
      <c r="K402">
        <v>2.04</v>
      </c>
      <c r="L402">
        <f t="shared" si="21"/>
        <v>2.04</v>
      </c>
      <c r="M402">
        <f t="shared" si="19"/>
        <v>405</v>
      </c>
      <c r="N402">
        <f t="shared" si="20"/>
        <v>826.2</v>
      </c>
    </row>
    <row r="403" spans="1:14">
      <c r="A403" t="s">
        <v>14</v>
      </c>
      <c r="B403" t="s">
        <v>1234</v>
      </c>
      <c r="C403" t="s">
        <v>1235</v>
      </c>
      <c r="D403" t="s">
        <v>17</v>
      </c>
      <c r="E403" t="s">
        <v>18</v>
      </c>
      <c r="F403">
        <v>91356</v>
      </c>
      <c r="G403">
        <v>1350</v>
      </c>
      <c r="H403">
        <v>1350</v>
      </c>
      <c r="I403" t="s">
        <v>1236</v>
      </c>
      <c r="K403">
        <v>2.6</v>
      </c>
      <c r="L403">
        <f t="shared" si="21"/>
        <v>2.6</v>
      </c>
      <c r="M403">
        <f t="shared" si="19"/>
        <v>1350</v>
      </c>
      <c r="N403">
        <f t="shared" si="20"/>
        <v>3510</v>
      </c>
    </row>
    <row r="404" spans="1:14">
      <c r="B404" t="s">
        <v>1237</v>
      </c>
      <c r="C404" t="s">
        <v>1238</v>
      </c>
      <c r="D404" t="s">
        <v>1239</v>
      </c>
      <c r="E404" t="s">
        <v>18</v>
      </c>
      <c r="F404">
        <v>90247</v>
      </c>
      <c r="I404" t="s">
        <v>65</v>
      </c>
      <c r="K404">
        <v>2</v>
      </c>
      <c r="L404">
        <f t="shared" si="21"/>
        <v>2</v>
      </c>
      <c r="M404">
        <f t="shared" si="19"/>
        <v>0</v>
      </c>
      <c r="N404">
        <f t="shared" si="20"/>
        <v>0</v>
      </c>
    </row>
    <row r="405" spans="1:14">
      <c r="A405" t="s">
        <v>14</v>
      </c>
      <c r="B405" t="s">
        <v>1240</v>
      </c>
      <c r="C405" t="s">
        <v>1241</v>
      </c>
      <c r="D405" t="s">
        <v>911</v>
      </c>
      <c r="E405" t="s">
        <v>18</v>
      </c>
      <c r="F405">
        <v>93101</v>
      </c>
      <c r="G405">
        <v>2416</v>
      </c>
      <c r="H405">
        <v>2416</v>
      </c>
      <c r="I405" t="s">
        <v>78</v>
      </c>
      <c r="K405">
        <v>4.25</v>
      </c>
      <c r="L405">
        <f t="shared" si="21"/>
        <v>4.25</v>
      </c>
      <c r="M405">
        <f t="shared" si="19"/>
        <v>2416</v>
      </c>
      <c r="N405">
        <f t="shared" si="20"/>
        <v>10268</v>
      </c>
    </row>
    <row r="406" spans="1:14">
      <c r="A406" t="s">
        <v>25</v>
      </c>
      <c r="B406" t="s">
        <v>1242</v>
      </c>
      <c r="C406" t="s">
        <v>1243</v>
      </c>
      <c r="D406" t="s">
        <v>583</v>
      </c>
      <c r="E406" t="s">
        <v>18</v>
      </c>
      <c r="F406">
        <v>94601</v>
      </c>
      <c r="G406">
        <v>191</v>
      </c>
      <c r="H406">
        <v>193</v>
      </c>
      <c r="I406" t="s">
        <v>1244</v>
      </c>
      <c r="K406">
        <v>8.34</v>
      </c>
      <c r="L406">
        <f t="shared" si="21"/>
        <v>8.34</v>
      </c>
      <c r="M406">
        <f t="shared" si="19"/>
        <v>192</v>
      </c>
      <c r="N406">
        <f t="shared" si="20"/>
        <v>1601.28</v>
      </c>
    </row>
    <row r="407" spans="1:14">
      <c r="A407" t="s">
        <v>1245</v>
      </c>
      <c r="B407" t="s">
        <v>1246</v>
      </c>
      <c r="C407" t="s">
        <v>655</v>
      </c>
      <c r="D407" t="s">
        <v>1247</v>
      </c>
      <c r="E407" t="s">
        <v>18</v>
      </c>
      <c r="F407">
        <v>95928</v>
      </c>
      <c r="G407">
        <v>33541</v>
      </c>
      <c r="H407">
        <v>43560</v>
      </c>
      <c r="I407" t="s">
        <v>1248</v>
      </c>
      <c r="K407">
        <v>0.18</v>
      </c>
      <c r="L407">
        <f t="shared" si="21"/>
        <v>0.18</v>
      </c>
      <c r="M407">
        <f t="shared" si="19"/>
        <v>38550.5</v>
      </c>
      <c r="N407">
        <f t="shared" si="20"/>
        <v>6939.09</v>
      </c>
    </row>
    <row r="408" spans="1:14">
      <c r="A408" t="s">
        <v>14</v>
      </c>
      <c r="B408" t="s">
        <v>1249</v>
      </c>
      <c r="C408" t="s">
        <v>1250</v>
      </c>
      <c r="D408" t="s">
        <v>751</v>
      </c>
      <c r="E408" t="s">
        <v>1251</v>
      </c>
      <c r="G408">
        <v>3000</v>
      </c>
      <c r="H408">
        <v>3000</v>
      </c>
      <c r="I408" t="s">
        <v>1252</v>
      </c>
      <c r="K408">
        <v>2.75</v>
      </c>
      <c r="L408">
        <f t="shared" si="21"/>
        <v>2.75</v>
      </c>
      <c r="M408">
        <f t="shared" si="19"/>
        <v>3000</v>
      </c>
      <c r="N408">
        <f t="shared" si="20"/>
        <v>8250</v>
      </c>
    </row>
    <row r="409" spans="1:14">
      <c r="A409" t="s">
        <v>14</v>
      </c>
      <c r="B409" t="s">
        <v>1253</v>
      </c>
      <c r="C409" t="s">
        <v>1254</v>
      </c>
      <c r="D409" t="s">
        <v>1255</v>
      </c>
      <c r="E409" t="s">
        <v>1251</v>
      </c>
      <c r="G409">
        <v>1000</v>
      </c>
      <c r="H409">
        <v>1000</v>
      </c>
      <c r="I409" t="s">
        <v>1256</v>
      </c>
      <c r="K409">
        <v>31.2</v>
      </c>
      <c r="L409">
        <f t="shared" si="21"/>
        <v>31.2</v>
      </c>
      <c r="M409">
        <f t="shared" si="19"/>
        <v>1000</v>
      </c>
      <c r="N409">
        <f t="shared" si="20"/>
        <v>31200</v>
      </c>
    </row>
    <row r="410" spans="1:14">
      <c r="A410" t="s">
        <v>1257</v>
      </c>
      <c r="B410" t="s">
        <v>1258</v>
      </c>
      <c r="C410" t="s">
        <v>1259</v>
      </c>
      <c r="D410" t="s">
        <v>1260</v>
      </c>
      <c r="E410" t="s">
        <v>18</v>
      </c>
      <c r="F410">
        <v>90249</v>
      </c>
      <c r="I410" t="s">
        <v>1261</v>
      </c>
      <c r="K410">
        <v>3.54</v>
      </c>
      <c r="L410">
        <f t="shared" si="21"/>
        <v>3.54</v>
      </c>
      <c r="M410">
        <f t="shared" si="19"/>
        <v>0</v>
      </c>
      <c r="N410">
        <f t="shared" si="20"/>
        <v>0</v>
      </c>
    </row>
    <row r="411" spans="1:14">
      <c r="A411" t="s">
        <v>14</v>
      </c>
      <c r="B411" t="s">
        <v>1262</v>
      </c>
      <c r="C411" t="s">
        <v>1263</v>
      </c>
      <c r="D411" t="s">
        <v>1264</v>
      </c>
      <c r="E411" t="s">
        <v>18</v>
      </c>
      <c r="F411">
        <v>90744</v>
      </c>
      <c r="G411">
        <v>1000</v>
      </c>
      <c r="H411">
        <v>1000</v>
      </c>
      <c r="I411" t="s">
        <v>259</v>
      </c>
      <c r="K411">
        <v>2.35</v>
      </c>
      <c r="L411">
        <f t="shared" si="21"/>
        <v>2.35</v>
      </c>
      <c r="M411">
        <f t="shared" si="19"/>
        <v>1000</v>
      </c>
      <c r="N411">
        <f t="shared" si="20"/>
        <v>2350</v>
      </c>
    </row>
    <row r="412" spans="1:14">
      <c r="A412" t="s">
        <v>14</v>
      </c>
      <c r="B412" t="s">
        <v>1265</v>
      </c>
      <c r="C412" t="s">
        <v>1266</v>
      </c>
      <c r="D412" t="s">
        <v>1267</v>
      </c>
      <c r="E412" t="s">
        <v>18</v>
      </c>
      <c r="F412">
        <v>90015</v>
      </c>
      <c r="G412">
        <v>4500</v>
      </c>
      <c r="H412">
        <v>6200</v>
      </c>
      <c r="I412" t="s">
        <v>1268</v>
      </c>
      <c r="J412">
        <f>K412/12</f>
        <v>0.177083333333333</v>
      </c>
      <c r="K412">
        <v>2.125</v>
      </c>
      <c r="L412">
        <f t="shared" si="21"/>
        <v>0.177083333333333</v>
      </c>
      <c r="M412">
        <f t="shared" si="19"/>
        <v>5350</v>
      </c>
      <c r="N412">
        <f t="shared" si="20"/>
        <v>11368.75</v>
      </c>
    </row>
    <row r="413" spans="1:14">
      <c r="A413" t="s">
        <v>14</v>
      </c>
      <c r="B413" t="s">
        <v>1269</v>
      </c>
      <c r="C413" t="s">
        <v>1270</v>
      </c>
      <c r="D413" t="s">
        <v>1271</v>
      </c>
      <c r="E413" t="s">
        <v>18</v>
      </c>
      <c r="F413">
        <v>95688</v>
      </c>
      <c r="G413">
        <v>1750</v>
      </c>
      <c r="H413">
        <v>1750</v>
      </c>
      <c r="I413" t="s">
        <v>65</v>
      </c>
      <c r="K413">
        <v>2</v>
      </c>
      <c r="L413">
        <f t="shared" si="21"/>
        <v>2</v>
      </c>
      <c r="M413">
        <f t="shared" si="19"/>
        <v>1750</v>
      </c>
      <c r="N413">
        <f t="shared" si="20"/>
        <v>3500</v>
      </c>
    </row>
    <row r="414" spans="1:14">
      <c r="A414" t="s">
        <v>14</v>
      </c>
      <c r="B414" t="s">
        <v>1272</v>
      </c>
      <c r="C414" t="s">
        <v>1273</v>
      </c>
      <c r="D414" t="s">
        <v>72</v>
      </c>
      <c r="E414" t="s">
        <v>18</v>
      </c>
      <c r="F414">
        <v>90015</v>
      </c>
      <c r="G414">
        <v>960</v>
      </c>
      <c r="H414">
        <v>960</v>
      </c>
      <c r="I414" t="s">
        <v>1067</v>
      </c>
      <c r="K414">
        <v>1.9</v>
      </c>
      <c r="L414">
        <f t="shared" si="21"/>
        <v>1.9</v>
      </c>
      <c r="M414">
        <f t="shared" si="19"/>
        <v>960</v>
      </c>
      <c r="N414">
        <f t="shared" si="20"/>
        <v>1824</v>
      </c>
    </row>
    <row r="415" spans="1:14">
      <c r="A415" t="s">
        <v>14</v>
      </c>
      <c r="B415" t="s">
        <v>1274</v>
      </c>
      <c r="C415" t="s">
        <v>1275</v>
      </c>
      <c r="D415" t="s">
        <v>1276</v>
      </c>
      <c r="E415" t="s">
        <v>18</v>
      </c>
      <c r="F415">
        <v>94591</v>
      </c>
      <c r="G415">
        <v>964</v>
      </c>
      <c r="H415">
        <v>13163</v>
      </c>
      <c r="I415" t="s">
        <v>1277</v>
      </c>
      <c r="K415">
        <v>1.85</v>
      </c>
      <c r="L415">
        <f t="shared" si="21"/>
        <v>1.85</v>
      </c>
      <c r="M415">
        <f t="shared" si="19"/>
        <v>7063.5</v>
      </c>
      <c r="N415">
        <f t="shared" si="20"/>
        <v>13067.475</v>
      </c>
    </row>
    <row r="416" spans="1:14">
      <c r="A416" t="s">
        <v>14</v>
      </c>
      <c r="B416" t="s">
        <v>1278</v>
      </c>
      <c r="C416" t="s">
        <v>1279</v>
      </c>
      <c r="D416" t="s">
        <v>1280</v>
      </c>
      <c r="E416" t="s">
        <v>18</v>
      </c>
      <c r="F416">
        <v>95677</v>
      </c>
      <c r="G416">
        <v>883</v>
      </c>
      <c r="H416">
        <v>883</v>
      </c>
      <c r="I416" t="s">
        <v>1028</v>
      </c>
      <c r="K416">
        <v>1.45</v>
      </c>
      <c r="L416">
        <f t="shared" si="21"/>
        <v>1.45</v>
      </c>
      <c r="M416">
        <f t="shared" si="19"/>
        <v>883</v>
      </c>
      <c r="N416">
        <f t="shared" si="20"/>
        <v>1280.35</v>
      </c>
    </row>
    <row r="417" spans="1:14">
      <c r="A417" t="s">
        <v>25</v>
      </c>
      <c r="B417" t="s">
        <v>994</v>
      </c>
      <c r="C417" t="s">
        <v>995</v>
      </c>
      <c r="D417" t="s">
        <v>191</v>
      </c>
      <c r="E417" t="s">
        <v>18</v>
      </c>
      <c r="F417">
        <v>90813</v>
      </c>
      <c r="G417">
        <v>566</v>
      </c>
      <c r="H417">
        <v>566</v>
      </c>
      <c r="I417" t="s">
        <v>996</v>
      </c>
      <c r="K417">
        <v>7.02</v>
      </c>
      <c r="L417">
        <f t="shared" si="21"/>
        <v>7.02</v>
      </c>
      <c r="M417">
        <f t="shared" si="19"/>
        <v>566</v>
      </c>
      <c r="N417">
        <f t="shared" si="20"/>
        <v>3973.32</v>
      </c>
    </row>
    <row r="418" spans="1:14">
      <c r="A418" t="s">
        <v>14</v>
      </c>
      <c r="B418" t="s">
        <v>1281</v>
      </c>
      <c r="C418" t="s">
        <v>1282</v>
      </c>
      <c r="D418" t="s">
        <v>1283</v>
      </c>
      <c r="E418" t="s">
        <v>18</v>
      </c>
      <c r="F418">
        <v>95818</v>
      </c>
      <c r="G418">
        <v>4200</v>
      </c>
      <c r="H418">
        <v>4200</v>
      </c>
      <c r="I418" t="s">
        <v>200</v>
      </c>
      <c r="K418">
        <v>2.5</v>
      </c>
      <c r="L418">
        <f t="shared" si="21"/>
        <v>2.5</v>
      </c>
      <c r="M418">
        <f t="shared" si="19"/>
        <v>4200</v>
      </c>
      <c r="N418">
        <f t="shared" si="20"/>
        <v>10500</v>
      </c>
    </row>
    <row r="419" spans="1:14">
      <c r="B419" t="s">
        <v>1284</v>
      </c>
      <c r="C419" t="s">
        <v>1285</v>
      </c>
      <c r="D419" t="s">
        <v>1286</v>
      </c>
      <c r="E419" t="s">
        <v>18</v>
      </c>
      <c r="F419">
        <v>95620</v>
      </c>
      <c r="I419" t="s">
        <v>1287</v>
      </c>
      <c r="K419">
        <v>2.29</v>
      </c>
      <c r="L419">
        <f t="shared" si="21"/>
        <v>2.29</v>
      </c>
      <c r="M419">
        <f t="shared" si="19"/>
        <v>0</v>
      </c>
      <c r="N419">
        <f t="shared" si="20"/>
        <v>0</v>
      </c>
    </row>
    <row r="420" spans="1:14">
      <c r="A420" t="s">
        <v>14</v>
      </c>
      <c r="B420" t="s">
        <v>1288</v>
      </c>
      <c r="C420" t="s">
        <v>1289</v>
      </c>
      <c r="D420" t="s">
        <v>1290</v>
      </c>
      <c r="E420" t="s">
        <v>18</v>
      </c>
      <c r="F420">
        <v>92882</v>
      </c>
      <c r="G420">
        <v>6500</v>
      </c>
      <c r="H420">
        <v>6500</v>
      </c>
      <c r="I420" t="s">
        <v>200</v>
      </c>
      <c r="K420">
        <v>2.5</v>
      </c>
      <c r="L420">
        <f t="shared" si="21"/>
        <v>2.5</v>
      </c>
      <c r="M420">
        <f t="shared" si="19"/>
        <v>6500</v>
      </c>
      <c r="N420">
        <f t="shared" si="20"/>
        <v>16250</v>
      </c>
    </row>
    <row r="421" spans="1:14">
      <c r="A421" t="s">
        <v>14</v>
      </c>
      <c r="B421" t="s">
        <v>1291</v>
      </c>
      <c r="C421" t="s">
        <v>1292</v>
      </c>
      <c r="D421" t="s">
        <v>1293</v>
      </c>
      <c r="E421" t="s">
        <v>18</v>
      </c>
      <c r="F421">
        <v>93021</v>
      </c>
      <c r="G421">
        <v>768</v>
      </c>
      <c r="H421">
        <v>2197</v>
      </c>
      <c r="I421" t="s">
        <v>1294</v>
      </c>
      <c r="K421">
        <v>1.725</v>
      </c>
      <c r="L421">
        <f t="shared" si="21"/>
        <v>1.725</v>
      </c>
      <c r="M421">
        <f t="shared" si="19"/>
        <v>1482.5</v>
      </c>
      <c r="N421">
        <f t="shared" si="20"/>
        <v>2557.3125</v>
      </c>
    </row>
    <row r="422" spans="1:14">
      <c r="A422" t="s">
        <v>414</v>
      </c>
      <c r="B422" t="s">
        <v>1295</v>
      </c>
      <c r="C422" t="s">
        <v>1296</v>
      </c>
      <c r="D422" t="s">
        <v>1297</v>
      </c>
      <c r="E422" t="s">
        <v>18</v>
      </c>
      <c r="F422">
        <v>95608</v>
      </c>
      <c r="I422" t="s">
        <v>735</v>
      </c>
      <c r="K422">
        <v>1.85</v>
      </c>
      <c r="L422">
        <f t="shared" si="21"/>
        <v>1.85</v>
      </c>
      <c r="M422">
        <f t="shared" si="19"/>
        <v>0</v>
      </c>
      <c r="N422">
        <f t="shared" si="20"/>
        <v>0</v>
      </c>
    </row>
    <row r="423" spans="1:14">
      <c r="A423" t="s">
        <v>14</v>
      </c>
      <c r="B423" t="s">
        <v>1298</v>
      </c>
      <c r="C423" t="s">
        <v>1299</v>
      </c>
      <c r="D423" t="s">
        <v>1300</v>
      </c>
      <c r="E423" t="s">
        <v>18</v>
      </c>
      <c r="F423">
        <v>94608</v>
      </c>
      <c r="G423">
        <v>191</v>
      </c>
      <c r="H423">
        <v>201</v>
      </c>
      <c r="I423" t="s">
        <v>1301</v>
      </c>
      <c r="J423">
        <f>K423/12</f>
        <v>0.978333333333333</v>
      </c>
      <c r="K423">
        <v>11.74</v>
      </c>
      <c r="L423">
        <f t="shared" si="21"/>
        <v>0.978333333333333</v>
      </c>
      <c r="M423">
        <f t="shared" si="19"/>
        <v>196</v>
      </c>
      <c r="N423">
        <f t="shared" si="20"/>
        <v>2301.04</v>
      </c>
    </row>
    <row r="424" spans="1:14">
      <c r="A424" t="s">
        <v>14</v>
      </c>
      <c r="B424" t="s">
        <v>1302</v>
      </c>
      <c r="C424" t="s">
        <v>1303</v>
      </c>
      <c r="D424" t="s">
        <v>1304</v>
      </c>
      <c r="E424" t="s">
        <v>18</v>
      </c>
      <c r="F424">
        <v>93291</v>
      </c>
      <c r="G424">
        <v>1400</v>
      </c>
      <c r="H424">
        <v>1400</v>
      </c>
      <c r="I424" t="s">
        <v>622</v>
      </c>
      <c r="K424">
        <v>3.5</v>
      </c>
      <c r="L424">
        <f t="shared" si="21"/>
        <v>3.5</v>
      </c>
      <c r="M424">
        <f t="shared" si="19"/>
        <v>1400</v>
      </c>
      <c r="N424">
        <f t="shared" si="20"/>
        <v>4900</v>
      </c>
    </row>
    <row r="425" spans="1:14">
      <c r="A425" t="s">
        <v>14</v>
      </c>
      <c r="B425" t="s">
        <v>1305</v>
      </c>
      <c r="C425" t="s">
        <v>1306</v>
      </c>
      <c r="D425" t="s">
        <v>1307</v>
      </c>
      <c r="E425" t="s">
        <v>18</v>
      </c>
      <c r="F425">
        <v>92335</v>
      </c>
      <c r="G425">
        <v>1300</v>
      </c>
      <c r="H425">
        <v>1300</v>
      </c>
      <c r="I425" t="s">
        <v>1308</v>
      </c>
      <c r="K425">
        <v>5.39</v>
      </c>
      <c r="L425">
        <f t="shared" si="21"/>
        <v>5.39</v>
      </c>
      <c r="M425">
        <f t="shared" si="19"/>
        <v>1300</v>
      </c>
      <c r="N425">
        <f t="shared" si="20"/>
        <v>7007</v>
      </c>
    </row>
    <row r="426" spans="1:14">
      <c r="A426" t="s">
        <v>14</v>
      </c>
      <c r="B426" t="s">
        <v>1309</v>
      </c>
      <c r="C426" t="s">
        <v>1310</v>
      </c>
      <c r="D426" t="s">
        <v>1311</v>
      </c>
      <c r="E426" t="s">
        <v>18</v>
      </c>
      <c r="F426">
        <v>90027</v>
      </c>
      <c r="G426">
        <v>1200</v>
      </c>
      <c r="H426">
        <v>1200</v>
      </c>
      <c r="I426" t="s">
        <v>1312</v>
      </c>
      <c r="J426">
        <f>K426/12</f>
        <v>0.416666666666667</v>
      </c>
      <c r="K426">
        <v>5</v>
      </c>
      <c r="L426">
        <f t="shared" si="21"/>
        <v>0.416666666666667</v>
      </c>
      <c r="M426">
        <f t="shared" si="19"/>
        <v>1200</v>
      </c>
      <c r="N426">
        <f t="shared" si="20"/>
        <v>6000</v>
      </c>
    </row>
    <row r="427" spans="1:14">
      <c r="B427" t="s">
        <v>1313</v>
      </c>
      <c r="C427" t="s">
        <v>1314</v>
      </c>
      <c r="D427" t="s">
        <v>1315</v>
      </c>
      <c r="E427" t="s">
        <v>18</v>
      </c>
      <c r="F427">
        <v>90802</v>
      </c>
      <c r="I427" t="s">
        <v>1316</v>
      </c>
      <c r="K427">
        <v>3</v>
      </c>
      <c r="L427">
        <f t="shared" si="21"/>
        <v>3</v>
      </c>
      <c r="M427">
        <f t="shared" si="19"/>
        <v>0</v>
      </c>
      <c r="N427">
        <f t="shared" si="20"/>
        <v>0</v>
      </c>
    </row>
  </sheetData>
  <autoFilter xmlns:etc="http://www.wps.cn/officeDocument/2017/etCustomData" ref="I1:I427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bobobobobone</cp:lastModifiedBy>
  <dcterms:created xsi:type="dcterms:W3CDTF">2025-11-13T19:56:00Z</dcterms:created>
  <dcterms:modified xsi:type="dcterms:W3CDTF">2025-11-13T20:08:52Z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795E0DB12DB35A0924811669F5372E9B_42</vt:lpwstr>
  </property>
  <property fmtid="{D5CDD505-2E9C-101B-9397-08002B2CF9AE}" pid="3" name="KSOProductBuildVer">
    <vt:lpwstr>1033-12.1.23540.23540</vt:lpwstr>
  </property>
</Properties>
</file>